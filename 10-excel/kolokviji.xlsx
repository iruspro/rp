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6269D8F-EB8C-4A0D-B507-713B342768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F33" i="1"/>
  <c r="G33" i="1"/>
  <c r="H33" i="1"/>
  <c r="D33" i="1"/>
  <c r="I3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J3" i="1" l="1"/>
  <c r="J33" i="1" s="1"/>
  <c r="I33" i="1"/>
</calcChain>
</file>

<file path=xl/sharedStrings.xml><?xml version="1.0" encoding="utf-8"?>
<sst xmlns="http://schemas.openxmlformats.org/spreadsheetml/2006/main" count="70" uniqueCount="68">
  <si>
    <t>Ime</t>
  </si>
  <si>
    <t>Priimek</t>
  </si>
  <si>
    <t>K1</t>
  </si>
  <si>
    <t>K2</t>
  </si>
  <si>
    <t>K3</t>
  </si>
  <si>
    <t>DN</t>
  </si>
  <si>
    <t>udeležba</t>
  </si>
  <si>
    <t>skupaj</t>
  </si>
  <si>
    <t>ocena</t>
  </si>
  <si>
    <t>Tone</t>
  </si>
  <si>
    <t>Avsec</t>
  </si>
  <si>
    <t>Tomaž</t>
  </si>
  <si>
    <t>Bezek</t>
  </si>
  <si>
    <t>Janja</t>
  </si>
  <si>
    <t>Cvelbar</t>
  </si>
  <si>
    <t>Maja</t>
  </si>
  <si>
    <t>Drčar</t>
  </si>
  <si>
    <t>Aleš</t>
  </si>
  <si>
    <t>Furlan</t>
  </si>
  <si>
    <t>Luka</t>
  </si>
  <si>
    <t>Sabina</t>
  </si>
  <si>
    <t>Iskra</t>
  </si>
  <si>
    <t>Katja</t>
  </si>
  <si>
    <t>Jerman</t>
  </si>
  <si>
    <t>Alenka</t>
  </si>
  <si>
    <t>Karakaš</t>
  </si>
  <si>
    <t>Jaka</t>
  </si>
  <si>
    <t>Karničar</t>
  </si>
  <si>
    <t>Petra</t>
  </si>
  <si>
    <t>Kočar</t>
  </si>
  <si>
    <t>Andraž</t>
  </si>
  <si>
    <t>Kofol</t>
  </si>
  <si>
    <t>Kristina</t>
  </si>
  <si>
    <t>Korošec</t>
  </si>
  <si>
    <t>Grega</t>
  </si>
  <si>
    <t>Kržišnik</t>
  </si>
  <si>
    <t>Barbara</t>
  </si>
  <si>
    <t>Kumar</t>
  </si>
  <si>
    <t>Mateja</t>
  </si>
  <si>
    <t>Logar</t>
  </si>
  <si>
    <t>Tatjana</t>
  </si>
  <si>
    <t>Obrenović</t>
  </si>
  <si>
    <t>Martin</t>
  </si>
  <si>
    <t>Pance</t>
  </si>
  <si>
    <t>Vesna</t>
  </si>
  <si>
    <t>Pleterski</t>
  </si>
  <si>
    <t>Primož</t>
  </si>
  <si>
    <t>Puncer</t>
  </si>
  <si>
    <t>Matjaž</t>
  </si>
  <si>
    <t>Ribnikar</t>
  </si>
  <si>
    <t>Andreja</t>
  </si>
  <si>
    <t>Smrekar</t>
  </si>
  <si>
    <t>Igor</t>
  </si>
  <si>
    <t>Štemberger</t>
  </si>
  <si>
    <t>Matej</t>
  </si>
  <si>
    <t>Šubašič</t>
  </si>
  <si>
    <t>Aleksander</t>
  </si>
  <si>
    <t>Tekavčič</t>
  </si>
  <si>
    <t>Mojca</t>
  </si>
  <si>
    <t>Tratnik</t>
  </si>
  <si>
    <t>Valerija</t>
  </si>
  <si>
    <t>Trček</t>
  </si>
  <si>
    <t>Polona</t>
  </si>
  <si>
    <t>Vesel</t>
  </si>
  <si>
    <t>Virant</t>
  </si>
  <si>
    <t>Katarina</t>
  </si>
  <si>
    <t xml:space="preserve">Žveglič </t>
  </si>
  <si>
    <t>Povprečje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</si>
</sst>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11">
    <dxf>
      <font>
        <b/>
      </font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theme="3" tint="0.249977111117893"/>
      </font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C6CB3-9FD0-4A13-ABDD-48BADDF1A39D}" name="Table1" displayName="Table1" ref="B2:J33" totalsRowCount="1">
  <autoFilter ref="B2:J32" xr:uid="{D57C6CB3-9FD0-4A13-ABDD-48BADDF1A39D}"/>
  <sortState xmlns:xlrd2="http://schemas.microsoft.com/office/spreadsheetml/2017/richdata2" ref="B3:J32">
    <sortCondition ref="B4:B32"/>
  </sortState>
  <tableColumns count="9">
    <tableColumn id="2" xr3:uid="{EE24C806-617F-445E-BE82-5666175518F2}" name="Ime" totalsRowLabel="Povprečje"/>
    <tableColumn id="1" xr3:uid="{F5420E14-D417-42DA-AA11-2B5EF33F32A5}" name="Priimek"/>
    <tableColumn id="3" xr3:uid="{2B894D9D-616C-410E-8023-EFDA4E51CA5A}" name="K1" totalsRowFunction="custom" totalsRowDxfId="8">
      <totalsRowFormula>SUBTOTAL(101,D3:D32)</totalsRowFormula>
    </tableColumn>
    <tableColumn id="4" xr3:uid="{430A3C03-F238-4E86-8900-867383620EBD}" name="K2" totalsRowFunction="custom" totalsRowDxfId="7">
      <totalsRowFormula>SUBTOTAL(101,E3:E32)</totalsRowFormula>
    </tableColumn>
    <tableColumn id="5" xr3:uid="{736E1E56-2F84-4BEB-993C-174E23BF831B}" name="K3" totalsRowFunction="custom" totalsRowDxfId="6">
      <totalsRowFormula>SUBTOTAL(101,F3:F32)</totalsRowFormula>
    </tableColumn>
    <tableColumn id="6" xr3:uid="{83BDE01F-C5D1-4678-B455-5D90C62CAA50}" name="DN" totalsRowFunction="custom" totalsRowDxfId="5">
      <totalsRowFormula>SUBTOTAL(101,G3:G32)</totalsRowFormula>
    </tableColumn>
    <tableColumn id="7" xr3:uid="{58C54AFE-4A17-424F-BE54-E0B5CF328284}" name="udeležba" totalsRowFunction="custom" totalsRowDxfId="4">
      <totalsRowFormula>SUBTOTAL(101,H3:H32)</totalsRowFormula>
    </tableColumn>
    <tableColumn id="8" xr3:uid="{EEAAED27-C5FF-4804-B7DD-B2B12C683AF6}" name="skupaj" totalsRowFunction="custom" dataDxfId="2" totalsRowDxfId="3">
      <calculatedColumnFormula>0.25 * SUM(Table1[[#This Row],[K1]:[K3]]) + 0.15 * Table1[[#This Row],[DN]] + 0.1 * Table1[[#This Row],[udeležba]]</calculatedColumnFormula>
      <totalsRowFormula>SUBTOTAL(101,I3:I32)</totalsRowFormula>
    </tableColumn>
    <tableColumn id="9" xr3:uid="{830AD551-2177-45DD-92DC-6F38984023F4}" name="ocena" totalsRowFunction="custom" dataDxfId="0" totalsRowDxfId="1">
      <calculatedColumnFormula>IF(AND(Table1[[#This Row],[skupaj]] &gt; 50, Table1[[#This Row],[skupaj]] &lt; 100), ROUND(Table1[[#This Row],[skupaj]] / 10 + 1, 0), IF(Table1[[#This Row],[skupaj]] &lt; 50, 5, 10))</calculatedColumnFormula>
      <totalsRowFormula>SUBTOTAL(101,J3:J32)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3"/>
  <sheetViews>
    <sheetView tabSelected="1" workbookViewId="0">
      <selection activeCell="N8" sqref="N8"/>
    </sheetView>
  </sheetViews>
  <sheetFormatPr defaultRowHeight="15"/>
  <cols>
    <col min="1" max="1" width="3.85546875" customWidth="1"/>
    <col min="2" max="2" width="10.7109375" bestFit="1" customWidth="1"/>
    <col min="3" max="3" width="11" bestFit="1" customWidth="1"/>
    <col min="8" max="8" width="11.5703125" bestFit="1" customWidth="1"/>
    <col min="9" max="9" width="9.28515625" bestFit="1" customWidth="1"/>
  </cols>
  <sheetData>
    <row r="2" spans="2:10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>
      <c r="B3" t="s">
        <v>9</v>
      </c>
      <c r="C3" t="s">
        <v>10</v>
      </c>
      <c r="D3">
        <v>35</v>
      </c>
      <c r="E3">
        <v>23</v>
      </c>
      <c r="F3">
        <v>57</v>
      </c>
      <c r="G3">
        <v>50</v>
      </c>
      <c r="H3">
        <v>50</v>
      </c>
      <c r="I3">
        <f>0.25 * SUM(Table1[[#This Row],[K1]:[K3]]) + 0.15 * Table1[[#This Row],[DN]] + 0.1 * Table1[[#This Row],[udeležba]]</f>
        <v>41.25</v>
      </c>
      <c r="J3" s="2">
        <f>IF(AND(Table1[[#This Row],[skupaj]] &gt; 50, Table1[[#This Row],[skupaj]] &lt; 100), ROUND(Table1[[#This Row],[skupaj]] / 10 + 1, 0), IF(Table1[[#This Row],[skupaj]] &lt; 50, 5, 10))</f>
        <v>5</v>
      </c>
    </row>
    <row r="4" spans="2:10">
      <c r="B4" t="s">
        <v>11</v>
      </c>
      <c r="C4" t="s">
        <v>12</v>
      </c>
      <c r="D4">
        <v>38</v>
      </c>
      <c r="E4">
        <v>71</v>
      </c>
      <c r="F4">
        <v>54</v>
      </c>
      <c r="G4">
        <v>74</v>
      </c>
      <c r="H4">
        <v>100</v>
      </c>
      <c r="I4">
        <f>0.25 * SUM(Table1[[#This Row],[K1]:[K3]]) + 0.15 * Table1[[#This Row],[DN]] + 0.1 * Table1[[#This Row],[udeležba]]</f>
        <v>61.85</v>
      </c>
      <c r="J4" s="2">
        <f>IF(AND(Table1[[#This Row],[skupaj]] &gt; 50, Table1[[#This Row],[skupaj]] &lt; 100), ROUND(Table1[[#This Row],[skupaj]] / 10 + 1, 0), IF(Table1[[#This Row],[skupaj]] &lt; 50, 5, 10))</f>
        <v>7</v>
      </c>
    </row>
    <row r="5" spans="2:10">
      <c r="B5" t="s">
        <v>13</v>
      </c>
      <c r="C5" t="s">
        <v>14</v>
      </c>
      <c r="D5">
        <v>39</v>
      </c>
      <c r="E5">
        <v>68</v>
      </c>
      <c r="F5">
        <v>90</v>
      </c>
      <c r="G5">
        <v>56</v>
      </c>
      <c r="H5">
        <v>99</v>
      </c>
      <c r="I5">
        <f>0.25 * SUM(Table1[[#This Row],[K1]:[K3]]) + 0.15 * Table1[[#This Row],[DN]] + 0.1 * Table1[[#This Row],[udeležba]]</f>
        <v>67.55</v>
      </c>
      <c r="J5" s="2">
        <f>IF(AND(Table1[[#This Row],[skupaj]] &gt; 50, Table1[[#This Row],[skupaj]] &lt; 100), ROUND(Table1[[#This Row],[skupaj]] / 10 + 1, 0), IF(Table1[[#This Row],[skupaj]] &lt; 50, 5, 10))</f>
        <v>8</v>
      </c>
    </row>
    <row r="6" spans="2:10">
      <c r="B6" t="s">
        <v>15</v>
      </c>
      <c r="C6" t="s">
        <v>16</v>
      </c>
      <c r="D6">
        <v>58</v>
      </c>
      <c r="E6">
        <v>77</v>
      </c>
      <c r="F6">
        <v>93</v>
      </c>
      <c r="G6">
        <v>90</v>
      </c>
      <c r="H6">
        <v>95</v>
      </c>
      <c r="I6">
        <f>0.25 * SUM(Table1[[#This Row],[K1]:[K3]]) + 0.15 * Table1[[#This Row],[DN]] + 0.1 * Table1[[#This Row],[udeležba]]</f>
        <v>80</v>
      </c>
      <c r="J6" s="2">
        <f>IF(AND(Table1[[#This Row],[skupaj]] &gt; 50, Table1[[#This Row],[skupaj]] &lt; 100), ROUND(Table1[[#This Row],[skupaj]] / 10 + 1, 0), IF(Table1[[#This Row],[skupaj]] &lt; 50, 5, 10))</f>
        <v>9</v>
      </c>
    </row>
    <row r="7" spans="2:10">
      <c r="B7" t="s">
        <v>17</v>
      </c>
      <c r="C7" t="s">
        <v>18</v>
      </c>
      <c r="D7">
        <v>36</v>
      </c>
      <c r="E7">
        <v>78</v>
      </c>
      <c r="F7">
        <v>31</v>
      </c>
      <c r="G7">
        <v>72</v>
      </c>
      <c r="H7">
        <v>56</v>
      </c>
      <c r="I7">
        <f>0.25 * SUM(Table1[[#This Row],[K1]:[K3]]) + 0.15 * Table1[[#This Row],[DN]] + 0.1 * Table1[[#This Row],[udeležba]]</f>
        <v>52.65</v>
      </c>
      <c r="J7" s="2">
        <f>IF(AND(Table1[[#This Row],[skupaj]] &gt; 50, Table1[[#This Row],[skupaj]] &lt; 100), ROUND(Table1[[#This Row],[skupaj]] / 10 + 1, 0), IF(Table1[[#This Row],[skupaj]] &lt; 50, 5, 10))</f>
        <v>6</v>
      </c>
    </row>
    <row r="8" spans="2:10">
      <c r="B8" t="s">
        <v>19</v>
      </c>
      <c r="C8" t="s">
        <v>18</v>
      </c>
      <c r="D8">
        <v>93</v>
      </c>
      <c r="E8">
        <v>39</v>
      </c>
      <c r="F8">
        <v>38</v>
      </c>
      <c r="G8">
        <v>93</v>
      </c>
      <c r="H8">
        <v>79</v>
      </c>
      <c r="I8">
        <f>0.25 * SUM(Table1[[#This Row],[K1]:[K3]]) + 0.15 * Table1[[#This Row],[DN]] + 0.1 * Table1[[#This Row],[udeležba]]</f>
        <v>64.350000000000009</v>
      </c>
      <c r="J8" s="2">
        <f>IF(AND(Table1[[#This Row],[skupaj]] &gt; 50, Table1[[#This Row],[skupaj]] &lt; 100), ROUND(Table1[[#This Row],[skupaj]] / 10 + 1, 0), IF(Table1[[#This Row],[skupaj]] &lt; 50, 5, 10))</f>
        <v>7</v>
      </c>
    </row>
    <row r="9" spans="2:10">
      <c r="B9" t="s">
        <v>20</v>
      </c>
      <c r="C9" t="s">
        <v>21</v>
      </c>
      <c r="D9">
        <v>77</v>
      </c>
      <c r="E9">
        <v>47</v>
      </c>
      <c r="F9">
        <v>85</v>
      </c>
      <c r="G9">
        <v>89</v>
      </c>
      <c r="H9">
        <v>100</v>
      </c>
      <c r="I9">
        <f>0.25 * SUM(Table1[[#This Row],[K1]:[K3]]) + 0.15 * Table1[[#This Row],[DN]] + 0.1 * Table1[[#This Row],[udeležba]]</f>
        <v>75.599999999999994</v>
      </c>
      <c r="J9" s="2">
        <f>IF(AND(Table1[[#This Row],[skupaj]] &gt; 50, Table1[[#This Row],[skupaj]] &lt; 100), ROUND(Table1[[#This Row],[skupaj]] / 10 + 1, 0), IF(Table1[[#This Row],[skupaj]] &lt; 50, 5, 10))</f>
        <v>9</v>
      </c>
    </row>
    <row r="10" spans="2:10">
      <c r="B10" t="s">
        <v>22</v>
      </c>
      <c r="C10" t="s">
        <v>23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f>0.25 * SUM(Table1[[#This Row],[K1]:[K3]]) + 0.15 * Table1[[#This Row],[DN]] + 0.1 * Table1[[#This Row],[udeležba]]</f>
        <v>100</v>
      </c>
      <c r="J10" s="2">
        <f>IF(AND(Table1[[#This Row],[skupaj]] &gt; 50, Table1[[#This Row],[skupaj]] &lt; 100), ROUND(Table1[[#This Row],[skupaj]] / 10 + 1, 0), IF(Table1[[#This Row],[skupaj]] &lt; 50, 5, 10))</f>
        <v>10</v>
      </c>
    </row>
    <row r="11" spans="2:10">
      <c r="B11" t="s">
        <v>24</v>
      </c>
      <c r="C11" t="s">
        <v>25</v>
      </c>
      <c r="D11">
        <v>94</v>
      </c>
      <c r="E11">
        <v>53</v>
      </c>
      <c r="F11">
        <v>51</v>
      </c>
      <c r="G11">
        <v>59</v>
      </c>
      <c r="H11">
        <v>90</v>
      </c>
      <c r="I11">
        <f>0.25 * SUM(Table1[[#This Row],[K1]:[K3]]) + 0.15 * Table1[[#This Row],[DN]] + 0.1 * Table1[[#This Row],[udeležba]]</f>
        <v>67.349999999999994</v>
      </c>
      <c r="J11" s="2">
        <f>IF(AND(Table1[[#This Row],[skupaj]] &gt; 50, Table1[[#This Row],[skupaj]] &lt; 100), ROUND(Table1[[#This Row],[skupaj]] / 10 + 1, 0), IF(Table1[[#This Row],[skupaj]] &lt; 50, 5, 10))</f>
        <v>8</v>
      </c>
    </row>
    <row r="12" spans="2:10">
      <c r="B12" t="s">
        <v>26</v>
      </c>
      <c r="C12" t="s">
        <v>27</v>
      </c>
      <c r="D12">
        <v>58</v>
      </c>
      <c r="E12">
        <v>33</v>
      </c>
      <c r="F12">
        <v>54</v>
      </c>
      <c r="G12">
        <v>54</v>
      </c>
      <c r="H12">
        <v>99</v>
      </c>
      <c r="I12">
        <f>0.25 * SUM(Table1[[#This Row],[K1]:[K3]]) + 0.15 * Table1[[#This Row],[DN]] + 0.1 * Table1[[#This Row],[udeležba]]</f>
        <v>54.25</v>
      </c>
      <c r="J12" s="2">
        <f>IF(AND(Table1[[#This Row],[skupaj]] &gt; 50, Table1[[#This Row],[skupaj]] &lt; 100), ROUND(Table1[[#This Row],[skupaj]] / 10 + 1, 0), IF(Table1[[#This Row],[skupaj]] &lt; 50, 5, 10))</f>
        <v>6</v>
      </c>
    </row>
    <row r="13" spans="2:10">
      <c r="B13" t="s">
        <v>28</v>
      </c>
      <c r="C13" t="s">
        <v>29</v>
      </c>
      <c r="D13">
        <v>44</v>
      </c>
      <c r="E13">
        <v>44</v>
      </c>
      <c r="F13">
        <v>61</v>
      </c>
      <c r="G13">
        <v>96</v>
      </c>
      <c r="H13">
        <v>62</v>
      </c>
      <c r="I13">
        <f>0.25 * SUM(Table1[[#This Row],[K1]:[K3]]) + 0.15 * Table1[[#This Row],[DN]] + 0.1 * Table1[[#This Row],[udeležba]]</f>
        <v>57.85</v>
      </c>
      <c r="J13" s="2">
        <f>IF(AND(Table1[[#This Row],[skupaj]] &gt; 50, Table1[[#This Row],[skupaj]] &lt; 100), ROUND(Table1[[#This Row],[skupaj]] / 10 + 1, 0), IF(Table1[[#This Row],[skupaj]] &lt; 50, 5, 10))</f>
        <v>7</v>
      </c>
    </row>
    <row r="14" spans="2:10">
      <c r="B14" t="s">
        <v>30</v>
      </c>
      <c r="C14" t="s">
        <v>31</v>
      </c>
      <c r="D14">
        <v>34</v>
      </c>
      <c r="E14">
        <v>77</v>
      </c>
      <c r="F14">
        <v>66</v>
      </c>
      <c r="G14">
        <v>68</v>
      </c>
      <c r="H14">
        <v>92</v>
      </c>
      <c r="I14">
        <f>0.25 * SUM(Table1[[#This Row],[K1]:[K3]]) + 0.15 * Table1[[#This Row],[DN]] + 0.1 * Table1[[#This Row],[udeležba]]</f>
        <v>63.650000000000006</v>
      </c>
      <c r="J14" s="2">
        <f>IF(AND(Table1[[#This Row],[skupaj]] &gt; 50, Table1[[#This Row],[skupaj]] &lt; 100), ROUND(Table1[[#This Row],[skupaj]] / 10 + 1, 0), IF(Table1[[#This Row],[skupaj]] &lt; 50, 5, 10))</f>
        <v>7</v>
      </c>
    </row>
    <row r="15" spans="2:10">
      <c r="B15" t="s">
        <v>32</v>
      </c>
      <c r="C15" t="s">
        <v>33</v>
      </c>
      <c r="D15">
        <v>86</v>
      </c>
      <c r="E15">
        <v>39</v>
      </c>
      <c r="F15">
        <v>97</v>
      </c>
      <c r="G15">
        <v>100</v>
      </c>
      <c r="H15">
        <v>100</v>
      </c>
      <c r="I15">
        <f>0.25 * SUM(Table1[[#This Row],[K1]:[K3]]) + 0.15 * Table1[[#This Row],[DN]] + 0.1 * Table1[[#This Row],[udeležba]]</f>
        <v>80.5</v>
      </c>
      <c r="J15" s="2">
        <f>IF(AND(Table1[[#This Row],[skupaj]] &gt; 50, Table1[[#This Row],[skupaj]] &lt; 100), ROUND(Table1[[#This Row],[skupaj]] / 10 + 1, 0), IF(Table1[[#This Row],[skupaj]] &lt; 50, 5, 10))</f>
        <v>9</v>
      </c>
    </row>
    <row r="16" spans="2:10">
      <c r="B16" t="s">
        <v>34</v>
      </c>
      <c r="C16" t="s">
        <v>35</v>
      </c>
      <c r="D16">
        <v>90</v>
      </c>
      <c r="E16">
        <v>86</v>
      </c>
      <c r="F16">
        <v>95</v>
      </c>
      <c r="G16">
        <v>88</v>
      </c>
      <c r="H16">
        <v>95</v>
      </c>
      <c r="I16">
        <f>0.25 * SUM(Table1[[#This Row],[K1]:[K3]]) + 0.15 * Table1[[#This Row],[DN]] + 0.1 * Table1[[#This Row],[udeležba]]</f>
        <v>90.45</v>
      </c>
      <c r="J16" s="2">
        <f>IF(AND(Table1[[#This Row],[skupaj]] &gt; 50, Table1[[#This Row],[skupaj]] &lt; 100), ROUND(Table1[[#This Row],[skupaj]] / 10 + 1, 0), IF(Table1[[#This Row],[skupaj]] &lt; 50, 5, 10))</f>
        <v>10</v>
      </c>
    </row>
    <row r="17" spans="2:10">
      <c r="B17" t="s">
        <v>36</v>
      </c>
      <c r="C17" t="s">
        <v>37</v>
      </c>
      <c r="D17">
        <v>57</v>
      </c>
      <c r="E17">
        <v>84</v>
      </c>
      <c r="F17">
        <v>92</v>
      </c>
      <c r="G17">
        <v>77</v>
      </c>
      <c r="H17">
        <v>85</v>
      </c>
      <c r="I17">
        <f>0.25 * SUM(Table1[[#This Row],[K1]:[K3]]) + 0.15 * Table1[[#This Row],[DN]] + 0.1 * Table1[[#This Row],[udeležba]]</f>
        <v>78.3</v>
      </c>
      <c r="J17" s="2">
        <f>IF(AND(Table1[[#This Row],[skupaj]] &gt; 50, Table1[[#This Row],[skupaj]] &lt; 100), ROUND(Table1[[#This Row],[skupaj]] / 10 + 1, 0), IF(Table1[[#This Row],[skupaj]] &lt; 50, 5, 10))</f>
        <v>9</v>
      </c>
    </row>
    <row r="18" spans="2:10">
      <c r="B18" t="s">
        <v>38</v>
      </c>
      <c r="C18" t="s">
        <v>39</v>
      </c>
      <c r="D18">
        <v>42</v>
      </c>
      <c r="E18">
        <v>80</v>
      </c>
      <c r="F18">
        <v>78</v>
      </c>
      <c r="G18">
        <v>88</v>
      </c>
      <c r="H18">
        <v>98</v>
      </c>
      <c r="I18">
        <f>0.25 * SUM(Table1[[#This Row],[K1]:[K3]]) + 0.15 * Table1[[#This Row],[DN]] + 0.1 * Table1[[#This Row],[udeležba]]</f>
        <v>73</v>
      </c>
      <c r="J18" s="2">
        <f>IF(AND(Table1[[#This Row],[skupaj]] &gt; 50, Table1[[#This Row],[skupaj]] &lt; 100), ROUND(Table1[[#This Row],[skupaj]] / 10 + 1, 0), IF(Table1[[#This Row],[skupaj]] &lt; 50, 5, 10))</f>
        <v>8</v>
      </c>
    </row>
    <row r="19" spans="2:10">
      <c r="B19" t="s">
        <v>40</v>
      </c>
      <c r="C19" t="s">
        <v>41</v>
      </c>
      <c r="D19">
        <v>44</v>
      </c>
      <c r="E19">
        <v>49</v>
      </c>
      <c r="F19">
        <v>81</v>
      </c>
      <c r="G19">
        <v>91</v>
      </c>
      <c r="H19">
        <v>68</v>
      </c>
      <c r="I19">
        <f>0.25 * SUM(Table1[[#This Row],[K1]:[K3]]) + 0.15 * Table1[[#This Row],[DN]] + 0.1 * Table1[[#This Row],[udeležba]]</f>
        <v>63.95</v>
      </c>
      <c r="J19" s="2">
        <f>IF(AND(Table1[[#This Row],[skupaj]] &gt; 50, Table1[[#This Row],[skupaj]] &lt; 100), ROUND(Table1[[#This Row],[skupaj]] / 10 + 1, 0), IF(Table1[[#This Row],[skupaj]] &lt; 50, 5, 10))</f>
        <v>7</v>
      </c>
    </row>
    <row r="20" spans="2:10">
      <c r="B20" t="s">
        <v>42</v>
      </c>
      <c r="C20" t="s">
        <v>43</v>
      </c>
      <c r="D20">
        <v>64</v>
      </c>
      <c r="E20">
        <v>94</v>
      </c>
      <c r="F20">
        <v>64</v>
      </c>
      <c r="G20">
        <v>52</v>
      </c>
      <c r="H20">
        <v>80</v>
      </c>
      <c r="I20">
        <f>0.25 * SUM(Table1[[#This Row],[K1]:[K3]]) + 0.15 * Table1[[#This Row],[DN]] + 0.1 * Table1[[#This Row],[udeležba]]</f>
        <v>71.3</v>
      </c>
      <c r="J20" s="2">
        <f>IF(AND(Table1[[#This Row],[skupaj]] &gt; 50, Table1[[#This Row],[skupaj]] &lt; 100), ROUND(Table1[[#This Row],[skupaj]] / 10 + 1, 0), IF(Table1[[#This Row],[skupaj]] &lt; 50, 5, 10))</f>
        <v>8</v>
      </c>
    </row>
    <row r="21" spans="2:10">
      <c r="B21" t="s">
        <v>44</v>
      </c>
      <c r="C21" t="s">
        <v>45</v>
      </c>
      <c r="D21">
        <v>30</v>
      </c>
      <c r="E21">
        <v>31</v>
      </c>
      <c r="F21">
        <v>45</v>
      </c>
      <c r="G21">
        <v>50</v>
      </c>
      <c r="H21">
        <v>70</v>
      </c>
      <c r="I21">
        <f>0.25 * SUM(Table1[[#This Row],[K1]:[K3]]) + 0.15 * Table1[[#This Row],[DN]] + 0.1 * Table1[[#This Row],[udeležba]]</f>
        <v>41</v>
      </c>
      <c r="J21" s="2">
        <f>IF(AND(Table1[[#This Row],[skupaj]] &gt; 50, Table1[[#This Row],[skupaj]] &lt; 100), ROUND(Table1[[#This Row],[skupaj]] / 10 + 1, 0), IF(Table1[[#This Row],[skupaj]] &lt; 50, 5, 10))</f>
        <v>5</v>
      </c>
    </row>
    <row r="22" spans="2:10">
      <c r="B22" t="s">
        <v>46</v>
      </c>
      <c r="C22" t="s">
        <v>47</v>
      </c>
      <c r="D22">
        <v>57</v>
      </c>
      <c r="E22">
        <v>49</v>
      </c>
      <c r="F22">
        <v>58</v>
      </c>
      <c r="G22">
        <v>79</v>
      </c>
      <c r="H22">
        <v>53</v>
      </c>
      <c r="I22">
        <f>0.25 * SUM(Table1[[#This Row],[K1]:[K3]]) + 0.15 * Table1[[#This Row],[DN]] + 0.1 * Table1[[#This Row],[udeležba]]</f>
        <v>58.150000000000006</v>
      </c>
      <c r="J22" s="2">
        <f>IF(AND(Table1[[#This Row],[skupaj]] &gt; 50, Table1[[#This Row],[skupaj]] &lt; 100), ROUND(Table1[[#This Row],[skupaj]] / 10 + 1, 0), IF(Table1[[#This Row],[skupaj]] &lt; 50, 5, 10))</f>
        <v>7</v>
      </c>
    </row>
    <row r="23" spans="2:10">
      <c r="B23" t="s">
        <v>48</v>
      </c>
      <c r="C23" t="s">
        <v>49</v>
      </c>
      <c r="D23">
        <v>43</v>
      </c>
      <c r="E23">
        <v>51</v>
      </c>
      <c r="F23">
        <v>72</v>
      </c>
      <c r="G23">
        <v>72</v>
      </c>
      <c r="H23">
        <v>65</v>
      </c>
      <c r="I23">
        <f>0.25 * SUM(Table1[[#This Row],[K1]:[K3]]) + 0.15 * Table1[[#This Row],[DN]] + 0.1 * Table1[[#This Row],[udeležba]]</f>
        <v>58.8</v>
      </c>
      <c r="J23" s="2">
        <f>IF(AND(Table1[[#This Row],[skupaj]] &gt; 50, Table1[[#This Row],[skupaj]] &lt; 100), ROUND(Table1[[#This Row],[skupaj]] / 10 + 1, 0), IF(Table1[[#This Row],[skupaj]] &lt; 50, 5, 10))</f>
        <v>7</v>
      </c>
    </row>
    <row r="24" spans="2:10">
      <c r="B24" t="s">
        <v>50</v>
      </c>
      <c r="C24" t="s">
        <v>51</v>
      </c>
      <c r="D24">
        <v>38</v>
      </c>
      <c r="E24">
        <v>32</v>
      </c>
      <c r="F24">
        <v>60</v>
      </c>
      <c r="G24">
        <v>61</v>
      </c>
      <c r="H24">
        <v>96</v>
      </c>
      <c r="I24">
        <f>0.25 * SUM(Table1[[#This Row],[K1]:[K3]]) + 0.15 * Table1[[#This Row],[DN]] + 0.1 * Table1[[#This Row],[udeležba]]</f>
        <v>51.25</v>
      </c>
      <c r="J24" s="2">
        <f>IF(AND(Table1[[#This Row],[skupaj]] &gt; 50, Table1[[#This Row],[skupaj]] &lt; 100), ROUND(Table1[[#This Row],[skupaj]] / 10 + 1, 0), IF(Table1[[#This Row],[skupaj]] &lt; 50, 5, 10))</f>
        <v>6</v>
      </c>
    </row>
    <row r="25" spans="2:10">
      <c r="B25" t="s">
        <v>52</v>
      </c>
      <c r="C25" t="s">
        <v>53</v>
      </c>
      <c r="D25">
        <v>85</v>
      </c>
      <c r="E25">
        <v>80</v>
      </c>
      <c r="F25">
        <v>71</v>
      </c>
      <c r="G25">
        <v>95</v>
      </c>
      <c r="H25">
        <v>91</v>
      </c>
      <c r="I25">
        <f>0.25 * SUM(Table1[[#This Row],[K1]:[K3]]) + 0.15 * Table1[[#This Row],[DN]] + 0.1 * Table1[[#This Row],[udeležba]]</f>
        <v>82.35</v>
      </c>
      <c r="J25" s="2">
        <f>IF(AND(Table1[[#This Row],[skupaj]] &gt; 50, Table1[[#This Row],[skupaj]] &lt; 100), ROUND(Table1[[#This Row],[skupaj]] / 10 + 1, 0), IF(Table1[[#This Row],[skupaj]] &lt; 50, 5, 10))</f>
        <v>9</v>
      </c>
    </row>
    <row r="26" spans="2:10">
      <c r="B26" t="s">
        <v>54</v>
      </c>
      <c r="C26" t="s">
        <v>55</v>
      </c>
      <c r="D26">
        <v>76</v>
      </c>
      <c r="E26">
        <v>84</v>
      </c>
      <c r="F26">
        <v>78</v>
      </c>
      <c r="G26">
        <v>97</v>
      </c>
      <c r="H26">
        <v>100</v>
      </c>
      <c r="I26">
        <f>0.25 * SUM(Table1[[#This Row],[K1]:[K3]]) + 0.15 * Table1[[#This Row],[DN]] + 0.1 * Table1[[#This Row],[udeležba]]</f>
        <v>84.05</v>
      </c>
      <c r="J26" s="2">
        <f>IF(AND(Table1[[#This Row],[skupaj]] &gt; 50, Table1[[#This Row],[skupaj]] &lt; 100), ROUND(Table1[[#This Row],[skupaj]] / 10 + 1, 0), IF(Table1[[#This Row],[skupaj]] &lt; 50, 5, 10))</f>
        <v>9</v>
      </c>
    </row>
    <row r="27" spans="2:10">
      <c r="B27" t="s">
        <v>56</v>
      </c>
      <c r="C27" t="s">
        <v>57</v>
      </c>
      <c r="D27">
        <v>34</v>
      </c>
      <c r="E27">
        <v>64</v>
      </c>
      <c r="F27">
        <v>68</v>
      </c>
      <c r="G27">
        <v>84</v>
      </c>
      <c r="H27">
        <v>67</v>
      </c>
      <c r="I27">
        <f>0.25 * SUM(Table1[[#This Row],[K1]:[K3]]) + 0.15 * Table1[[#This Row],[DN]] + 0.1 * Table1[[#This Row],[udeležba]]</f>
        <v>60.800000000000004</v>
      </c>
      <c r="J27" s="2">
        <f>IF(AND(Table1[[#This Row],[skupaj]] &gt; 50, Table1[[#This Row],[skupaj]] &lt; 100), ROUND(Table1[[#This Row],[skupaj]] / 10 + 1, 0), IF(Table1[[#This Row],[skupaj]] &lt; 50, 5, 10))</f>
        <v>7</v>
      </c>
    </row>
    <row r="28" spans="2:10">
      <c r="B28" t="s">
        <v>58</v>
      </c>
      <c r="C28" t="s">
        <v>59</v>
      </c>
      <c r="D28">
        <v>79</v>
      </c>
      <c r="E28">
        <v>33</v>
      </c>
      <c r="F28">
        <v>39</v>
      </c>
      <c r="G28">
        <v>95</v>
      </c>
      <c r="H28">
        <v>87</v>
      </c>
      <c r="I28">
        <f>0.25 * SUM(Table1[[#This Row],[K1]:[K3]]) + 0.15 * Table1[[#This Row],[DN]] + 0.1 * Table1[[#This Row],[udeležba]]</f>
        <v>60.7</v>
      </c>
      <c r="J28" s="2">
        <f>IF(AND(Table1[[#This Row],[skupaj]] &gt; 50, Table1[[#This Row],[skupaj]] &lt; 100), ROUND(Table1[[#This Row],[skupaj]] / 10 + 1, 0), IF(Table1[[#This Row],[skupaj]] &lt; 50, 5, 10))</f>
        <v>7</v>
      </c>
    </row>
    <row r="29" spans="2:10">
      <c r="B29" t="s">
        <v>60</v>
      </c>
      <c r="C29" t="s">
        <v>61</v>
      </c>
      <c r="D29">
        <v>70</v>
      </c>
      <c r="E29">
        <v>52</v>
      </c>
      <c r="F29">
        <v>62</v>
      </c>
      <c r="G29">
        <v>69</v>
      </c>
      <c r="H29">
        <v>100</v>
      </c>
      <c r="I29">
        <f>0.25 * SUM(Table1[[#This Row],[K1]:[K3]]) + 0.15 * Table1[[#This Row],[DN]] + 0.1 * Table1[[#This Row],[udeležba]]</f>
        <v>66.349999999999994</v>
      </c>
      <c r="J29" s="2">
        <f>IF(AND(Table1[[#This Row],[skupaj]] &gt; 50, Table1[[#This Row],[skupaj]] &lt; 100), ROUND(Table1[[#This Row],[skupaj]] / 10 + 1, 0), IF(Table1[[#This Row],[skupaj]] &lt; 50, 5, 10))</f>
        <v>8</v>
      </c>
    </row>
    <row r="30" spans="2:10">
      <c r="B30" t="s">
        <v>62</v>
      </c>
      <c r="C30" t="s">
        <v>63</v>
      </c>
      <c r="D30">
        <v>66</v>
      </c>
      <c r="E30">
        <v>86</v>
      </c>
      <c r="F30">
        <v>67</v>
      </c>
      <c r="G30">
        <v>99</v>
      </c>
      <c r="H30">
        <v>100</v>
      </c>
      <c r="I30">
        <f>0.25 * SUM(Table1[[#This Row],[K1]:[K3]]) + 0.15 * Table1[[#This Row],[DN]] + 0.1 * Table1[[#This Row],[udeležba]]</f>
        <v>79.599999999999994</v>
      </c>
      <c r="J30" s="2">
        <f>IF(AND(Table1[[#This Row],[skupaj]] &gt; 50, Table1[[#This Row],[skupaj]] &lt; 100), ROUND(Table1[[#This Row],[skupaj]] / 10 + 1, 0), IF(Table1[[#This Row],[skupaj]] &lt; 50, 5, 10))</f>
        <v>9</v>
      </c>
    </row>
    <row r="31" spans="2:10">
      <c r="B31" t="s">
        <v>46</v>
      </c>
      <c r="C31" t="s">
        <v>64</v>
      </c>
      <c r="D31">
        <v>98</v>
      </c>
      <c r="E31">
        <v>75</v>
      </c>
      <c r="F31">
        <v>42</v>
      </c>
      <c r="G31">
        <v>83</v>
      </c>
      <c r="H31">
        <v>57</v>
      </c>
      <c r="I31">
        <f>0.25 * SUM(Table1[[#This Row],[K1]:[K3]]) + 0.15 * Table1[[#This Row],[DN]] + 0.1 * Table1[[#This Row],[udeležba]]</f>
        <v>71.900000000000006</v>
      </c>
      <c r="J31" s="2">
        <f>IF(AND(Table1[[#This Row],[skupaj]] &gt; 50, Table1[[#This Row],[skupaj]] &lt; 100), ROUND(Table1[[#This Row],[skupaj]] / 10 + 1, 0), IF(Table1[[#This Row],[skupaj]] &lt; 50, 5, 10))</f>
        <v>8</v>
      </c>
    </row>
    <row r="32" spans="2:10">
      <c r="B32" t="s">
        <v>65</v>
      </c>
      <c r="C32" t="s">
        <v>66</v>
      </c>
      <c r="D32">
        <v>46</v>
      </c>
      <c r="E32">
        <v>56</v>
      </c>
      <c r="F32">
        <v>78</v>
      </c>
      <c r="G32">
        <v>94</v>
      </c>
      <c r="H32">
        <v>99</v>
      </c>
      <c r="I32">
        <f>0.25 * SUM(Table1[[#This Row],[K1]:[K3]]) + 0.15 * Table1[[#This Row],[DN]] + 0.1 * Table1[[#This Row],[udeležba]]</f>
        <v>69</v>
      </c>
      <c r="J32" s="2">
        <f>IF(AND(Table1[[#This Row],[skupaj]] &gt; 50, Table1[[#This Row],[skupaj]] &lt; 100), ROUND(Table1[[#This Row],[skupaj]] / 10 + 1, 0), IF(Table1[[#This Row],[skupaj]] &lt; 50, 5, 10))</f>
        <v>8</v>
      </c>
    </row>
    <row r="33" spans="2:10">
      <c r="B33" t="s">
        <v>67</v>
      </c>
      <c r="D33" s="1">
        <f>SUBTOTAL(101,D3:D32)</f>
        <v>60.366666666666667</v>
      </c>
      <c r="E33" s="1">
        <f t="shared" ref="E33:I33" si="0">SUBTOTAL(101,E3:E32)</f>
        <v>61.166666666666664</v>
      </c>
      <c r="F33" s="1">
        <f t="shared" si="0"/>
        <v>67.566666666666663</v>
      </c>
      <c r="G33" s="1">
        <f t="shared" si="0"/>
        <v>79.166666666666671</v>
      </c>
      <c r="H33" s="1">
        <f t="shared" si="0"/>
        <v>84.433333333333337</v>
      </c>
      <c r="I33" s="1">
        <f t="shared" si="0"/>
        <v>67.593333333333334</v>
      </c>
      <c r="J33" s="1">
        <f>SUBTOTAL(101,J3:J32)</f>
        <v>7.666666666666667</v>
      </c>
    </row>
  </sheetData>
  <conditionalFormatting sqref="J3:J32">
    <cfRule type="cellIs" dxfId="10" priority="2" operator="equal">
      <formula>5</formula>
    </cfRule>
  </conditionalFormatting>
  <conditionalFormatting sqref="J3:J32">
    <cfRule type="cellIs" dxfId="9" priority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2025-12-07T23:02:55Z</dcterms:created>
  <dcterms:modified xsi:type="dcterms:W3CDTF">2025-12-07T23:18:32Z</dcterms:modified>
  <cp:category/>
  <cp:contentStatus/>
</cp:coreProperties>
</file>