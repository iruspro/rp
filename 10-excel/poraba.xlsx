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ja/Versioned/Predmeti/racunalniski-praktikum/vaje/03-excel/vaje2/"/>
    </mc:Choice>
  </mc:AlternateContent>
  <xr:revisionPtr revIDLastSave="0" documentId="8_{79D8EB1C-5443-4110-8D4E-C4E43564D5B4}" xr6:coauthVersionLast="47" xr6:coauthVersionMax="47" xr10:uidLastSave="{00000000-0000-0000-0000-000000000000}"/>
  <bookViews>
    <workbookView xWindow="17040" yWindow="-26560" windowWidth="23020" windowHeight="19000" xr2:uid="{00000000-000D-0000-FFFF-FFFF00000000}"/>
  </bookViews>
  <sheets>
    <sheet name="Poraba" sheetId="4" r:id="rId1"/>
  </sheets>
  <definedNames>
    <definedName name="ExternalData_1" localSheetId="0" hidden="1">Poraba!$B$2:$H$21</definedName>
  </definedNames>
  <calcPr calcId="191028"/>
  <pivotCaches>
    <pivotCache cacheId="30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 a="1"/>
  <c r="C3" i="4"/>
  <c r="C4" i="4" a="1"/>
  <c r="C4" i="4"/>
  <c r="C5" i="4" a="1"/>
  <c r="C5" i="4"/>
  <c r="C6" i="4" a="1"/>
  <c r="C6" i="4"/>
  <c r="C7" i="4" a="1"/>
  <c r="C7" i="4"/>
  <c r="C8" i="4" a="1"/>
  <c r="C8" i="4"/>
  <c r="C9" i="4" a="1"/>
  <c r="C9" i="4"/>
  <c r="C10" i="4" a="1"/>
  <c r="C10" i="4"/>
  <c r="C11" i="4" a="1"/>
  <c r="C11" i="4"/>
  <c r="C12" i="4" a="1"/>
  <c r="C12" i="4"/>
  <c r="C13" i="4" a="1"/>
  <c r="C13" i="4"/>
  <c r="C14" i="4" a="1"/>
  <c r="C14" i="4"/>
  <c r="C15" i="4" a="1"/>
  <c r="C15" i="4"/>
  <c r="C16" i="4" a="1"/>
  <c r="C16" i="4"/>
  <c r="C17" i="4" a="1"/>
  <c r="C17" i="4"/>
  <c r="C18" i="4" a="1"/>
  <c r="C18" i="4"/>
  <c r="C19" i="4" a="1"/>
  <c r="C19" i="4"/>
  <c r="C20" i="4" a="1"/>
  <c r="C20" i="4"/>
  <c r="C21" i="4" a="1"/>
  <c r="C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G5" i="4"/>
  <c r="I5" i="4" s="1"/>
  <c r="G6" i="4"/>
  <c r="I6" i="4" s="1"/>
  <c r="G7" i="4"/>
  <c r="I7" i="4" s="1"/>
  <c r="G8" i="4"/>
  <c r="I8" i="4" s="1"/>
  <c r="G9" i="4"/>
  <c r="I9" i="4" s="1"/>
  <c r="G10" i="4"/>
  <c r="I10" i="4" s="1"/>
  <c r="G11" i="4"/>
  <c r="I11" i="4" s="1"/>
  <c r="G12" i="4"/>
  <c r="I12" i="4" s="1"/>
  <c r="G13" i="4"/>
  <c r="I13" i="4" s="1"/>
  <c r="G14" i="4"/>
  <c r="I14" i="4" s="1"/>
  <c r="G15" i="4"/>
  <c r="I15" i="4" s="1"/>
  <c r="G16" i="4"/>
  <c r="I16" i="4" s="1"/>
  <c r="G17" i="4"/>
  <c r="I17" i="4" s="1"/>
  <c r="G18" i="4"/>
  <c r="I18" i="4" s="1"/>
  <c r="G19" i="4"/>
  <c r="I19" i="4" s="1"/>
  <c r="G20" i="4"/>
  <c r="I20" i="4" s="1"/>
  <c r="G21" i="4"/>
  <c r="I21" i="4" s="1"/>
  <c r="G4" i="4"/>
  <c r="I4" i="4" s="1"/>
  <c r="H4" i="4" l="1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<sst xmlns="http://schemas.openxmlformats.org/spreadsheetml/2006/main" count="34" uniqueCount="26">
  <si>
    <t>Datum</t>
  </si>
  <si>
    <t>Mesec</t>
  </si>
  <si>
    <t>Litri</t>
  </si>
  <si>
    <t>Plačano</t>
  </si>
  <si>
    <t>Števec</t>
  </si>
  <si>
    <t>Prevoženo</t>
  </si>
  <si>
    <t>Poraba</t>
  </si>
  <si>
    <t>Prikaz</t>
  </si>
  <si>
    <t>Veljavnost</t>
  </si>
  <si>
    <t>Bencin</t>
  </si>
  <si>
    <t>Jan</t>
  </si>
  <si>
    <t/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</si>
  <si>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</si>
  <si>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</si>
  <si>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</si>
  <si>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</si>
  <si>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</si>
  <si>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</si>
  <si>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</si>
  <si>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</si>
  <si>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</si>
  <si>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</si>
  <si>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</si>
  <si>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Sum of Prevoženo</t>
  </si>
  <si>
    <t>Average of Poraba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</si>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</sst>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5" formatCode="#,##0.00\ &quot;€&quot;"/>
  </numFmts>
  <fonts count="2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6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bottom style="medium">
          <color rgb="FF9BBB59"/>
        </bottom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\ &quot;€&quot;"/>
    </dxf>
    <dxf>
      <numFmt numFmtId="2" formatCode="0.00"/>
    </dxf>
    <dxf>
      <numFmt numFmtId="1" formatCode="0"/>
    </dxf>
    <dxf>
      <numFmt numFmtId="166" formatCode="d/mm/yy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088855671296" createdVersion="8" refreshedVersion="8" minRefreshableVersion="3" recordCount="19" xr:uid="{1831C72F-B5CE-4FCC-B2A5-E47BB91A9AF4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/>
    </cacheField>
    <cacheField name="Mesec" numFmtId="1">
      <sharedItems count="6">
        <s v="Maj"/>
        <s v="Jun"/>
        <s v="Jul"/>
        <s v="Avg"/>
        <s v="Sep"/>
        <s v="Okt"/>
      </sharedItems>
    </cacheField>
    <cacheField name="Litri" numFmtId="2">
      <sharedItems containsSemiMixedTypes="0" containsString="0" containsNumber="1" minValue="34.04" maxValue="43.1"/>
    </cacheField>
    <cacheField name="Plačano" numFmtId="165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23" maxValue="8.1008968609865484"/>
    </cacheField>
    <cacheField name="Prikaz" numFmtId="2">
      <sharedItems containsString="0" containsBlank="1" containsNumber="1" minValue="6.3103953147877023" maxValue="8.10089686098654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3-05-05T00:00:00"/>
    <x v="0"/>
    <n v="41.17"/>
    <n v="58.296720000000001"/>
    <n v="41907"/>
    <s v=""/>
    <s v=""/>
    <m/>
  </r>
  <r>
    <d v="2023-05-13T00:00:00"/>
    <x v="0"/>
    <n v="43.02"/>
    <n v="59.797800000000002"/>
    <n v="42521"/>
    <n v="614"/>
    <n v="7.006514657980456"/>
    <n v="7.006514657980456"/>
  </r>
  <r>
    <d v="2023-05-22T00:00:00"/>
    <x v="0"/>
    <n v="41.67"/>
    <n v="57.921299999999995"/>
    <n v="43181"/>
    <n v="660"/>
    <n v="6.3136363636363644"/>
    <n v="6.3136363636363644"/>
  </r>
  <r>
    <d v="2023-05-27T00:00:00"/>
    <x v="0"/>
    <n v="34.04"/>
    <n v="47.043279999999996"/>
    <n v="43696"/>
    <n v="515"/>
    <n v="6.6097087378640769"/>
    <n v="6.6097087378640769"/>
  </r>
  <r>
    <d v="2023-06-08T00:00:00"/>
    <x v="1"/>
    <n v="42.42"/>
    <n v="59.897039999999997"/>
    <n v="44314"/>
    <n v="618"/>
    <n v="6.8640776699029127"/>
    <n v="6.8640776699029127"/>
  </r>
  <r>
    <d v="2023-06-16T00:00:00"/>
    <x v="1"/>
    <n v="43.1"/>
    <n v="60.857199999999999"/>
    <n v="44997"/>
    <n v="683"/>
    <n v="6.3103953147877023"/>
    <n v="6.3103953147877023"/>
  </r>
  <r>
    <d v="2023-06-22T00:00:00"/>
    <x v="1"/>
    <n v="38.18"/>
    <n v="54.368319999999997"/>
    <n v="45546"/>
    <n v="549"/>
    <n v="6.9544626593806917"/>
    <n v="6.9544626593806917"/>
  </r>
  <r>
    <d v="2023-07-06T00:00:00"/>
    <x v="2"/>
    <n v="40.659999999999997"/>
    <n v="58.713039999999992"/>
    <n v="46126"/>
    <n v="580"/>
    <n v="7.0103448275862066"/>
    <n v="7.0103448275862066"/>
  </r>
  <r>
    <d v="2023-07-15T00:00:00"/>
    <x v="2"/>
    <n v="39.17"/>
    <n v="56.561480000000003"/>
    <n v="46687"/>
    <n v="561"/>
    <n v="6.9821746880570412"/>
    <n v="6.9821746880570412"/>
  </r>
  <r>
    <d v="2023-07-22T00:00:00"/>
    <x v="2"/>
    <n v="40.29"/>
    <n v="58.662239999999997"/>
    <n v="47250"/>
    <n v="563"/>
    <n v="7.1563055062166967"/>
    <n v="7.1563055062166967"/>
  </r>
  <r>
    <d v="2023-07-31T00:00:00"/>
    <x v="2"/>
    <n v="41.01"/>
    <n v="59.710559999999994"/>
    <n v="47867"/>
    <n v="617"/>
    <n v="6.6466774716369521"/>
    <n v="6.6466774716369521"/>
  </r>
  <r>
    <d v="2023-08-13T00:00:00"/>
    <x v="3"/>
    <n v="37.18"/>
    <n v="56.178979999999996"/>
    <n v="48407"/>
    <n v="540"/>
    <n v="6.8851851851851844"/>
    <n v="6.8851851851851844"/>
  </r>
  <r>
    <d v="2023-08-25T00:00:00"/>
    <x v="3"/>
    <n v="41.46"/>
    <n v="62.646059999999999"/>
    <n v="49005"/>
    <n v="598"/>
    <n v="6.9331103678929766"/>
    <n v="6.9331103678929766"/>
  </r>
  <r>
    <d v="2023-09-06T00:00:00"/>
    <x v="4"/>
    <n v="35.97"/>
    <n v="55.537680000000002"/>
    <n v="49480"/>
    <n v="475"/>
    <n v="7.5726315789473686"/>
    <n v="7.5726315789473686"/>
  </r>
  <r>
    <d v="2023-09-15T00:00:00"/>
    <x v="4"/>
    <n v="38.74"/>
    <n v="60.085740000000001"/>
    <n v="50012"/>
    <n v="532"/>
    <n v="7.2819548872180455"/>
    <n v="7.2819548872180455"/>
  </r>
  <r>
    <d v="2023-09-22T00:00:00"/>
    <x v="4"/>
    <n v="36.130000000000003"/>
    <n v="56.03763"/>
    <n v="50458"/>
    <n v="446"/>
    <n v="8.1008968609865484"/>
    <n v="8.1008968609865484"/>
  </r>
  <r>
    <d v="2023-09-29T00:00:00"/>
    <x v="4"/>
    <n v="38.51"/>
    <n v="61.153880000000001"/>
    <n v="50991"/>
    <n v="533"/>
    <n v="7.2251407129455911"/>
    <n v="7.2251407129455911"/>
  </r>
  <r>
    <d v="2023-10-06T00:00:00"/>
    <x v="5"/>
    <n v="38.840000000000003"/>
    <n v="61.677920000000007"/>
    <n v="51593"/>
    <n v="602"/>
    <n v="6.4518272425249172"/>
    <n v="6.4518272425249172"/>
  </r>
  <r>
    <d v="2023-10-14T00:00:00"/>
    <x v="5"/>
    <n v="41.73"/>
    <n v="64.097279999999998"/>
    <n v="52176"/>
    <n v="583"/>
    <n v="7.1578044596912509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FBD18-0DFE-49B8-98DA-0A3708FD71E8}" name="PivotTable1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3:D30" firstHeaderRow="0" firstDataRow="1" firstDataCol="1"/>
  <pivotFields count="8">
    <pivotField compact="0" numFmtId="14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2" outline="0" showAll="0"/>
    <pivotField compact="0" numFmtId="165" outline="0" showAll="0"/>
    <pivotField compact="0" numFmtId="3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voženo" fld="5" baseField="0" baseItem="0"/>
    <dataField name="Average of Poraba" fld="6" subtotal="average" baseField="0" baseItem="0" numFmtId="2"/>
  </dataFields>
  <formats count="1">
    <format dxfId="1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5" unboundColumnsRight="1">
    <queryTableFields count="8">
      <queryTableField id="1" name="Column1" tableColumnId="1"/>
      <queryTableField id="14" dataBound="0" tableColumnId="8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I21" tableType="queryTable" totalsRowShown="0">
  <autoFilter ref="B2:I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C5B71E-FC31-5C41-A064-103F27749A97}" uniqueName="1" name="Datum" queryTableFieldId="1" dataDxfId="12"/>
    <tableColumn id="8" xr3:uid="{3CE9030E-E21E-475A-921B-FA85F44879E2}" uniqueName="8" name="Mesec" queryTableFieldId="14" dataDxfId="11">
      <calculatedColumnFormula array="1">INDEX($N$2:$N$13, MONTH(realna_poraba_cupra__2[[#This Row],[Datum]]))</calculatedColumnFormula>
    </tableColumn>
    <tableColumn id="2" xr3:uid="{6DC2697C-FCB3-8A47-945B-8CD05834AA8C}" uniqueName="2" name="Litri" queryTableFieldId="2" dataDxfId="10"/>
    <tableColumn id="3" xr3:uid="{19DBC541-3ADF-4E48-8786-6E42DA219788}" uniqueName="3" name="Plačano" queryTableFieldId="3" dataDxfId="9">
      <calculatedColumnFormula>realna_poraba_cupra__2[[#This Row],[Litri]] * INDEX(Table3[Bencin], MATCH(realna_poraba_cupra__2[[#This Row],[Datum]],Table3[Veljavnost], 1))</calculatedColumnFormula>
    </tableColumn>
    <tableColumn id="4" xr3:uid="{3238A9AD-2FC0-0E49-9EE3-7019C05B366B}" uniqueName="4" name="Števec" queryTableFieldId="4" dataDxfId="8"/>
    <tableColumn id="5" xr3:uid="{E0B5480D-9C8F-CA4C-941D-AE9FDE0CDFDC}" uniqueName="5" name="Prevoženo" queryTableFieldId="5" dataDxfId="7"/>
    <tableColumn id="6" xr3:uid="{1DEAFC6B-8470-6742-BAB3-957B7429D133}" uniqueName="6" name="Poraba" queryTableFieldId="6" dataDxfId="6"/>
    <tableColumn id="11" xr3:uid="{911769A8-5CFE-8245-A64B-38797D90A3B5}" uniqueName="11" name="Prikaz" queryTableFieldId="11" dataDxfId="5">
      <calculatedColumnFormula>100 * (realna_poraba_cupra__2[[#This Row],[Litri]] / 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K2:L25" totalsRowShown="0" headerRowBorderDxfId="3" tableBorderDxfId="4" totalsRowBorderDxfId="2">
  <autoFilter ref="K2:L25" xr:uid="{E8D6AF57-84FE-3944-82AB-DB7DC1C050CB}"/>
  <sortState xmlns:xlrd2="http://schemas.microsoft.com/office/spreadsheetml/2017/richdata2" ref="K3:L25">
    <sortCondition ref="K2:K25"/>
  </sortState>
  <tableColumns count="2">
    <tableColumn id="1" xr3:uid="{0C7E1327-9FA7-3E43-8151-18CCECA1E09D}" name="Veljavnost" dataDxfId="1"/>
    <tableColumn id="2" xr3:uid="{079EA12A-47EB-F54A-8E37-30D8BCE75150}" name="Benci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N30"/>
  <sheetViews>
    <sheetView tabSelected="1" zoomScale="120" zoomScaleNormal="120" workbookViewId="0">
      <selection activeCell="H29" sqref="H29"/>
    </sheetView>
  </sheetViews>
  <sheetFormatPr defaultColWidth="11.42578125" defaultRowHeight="15"/>
  <cols>
    <col min="1" max="1" width="3.85546875" customWidth="1"/>
    <col min="2" max="2" width="11.7109375" bestFit="1" customWidth="1"/>
    <col min="3" max="3" width="17.42578125" bestFit="1" customWidth="1"/>
    <col min="4" max="4" width="17.85546875" bestFit="1" customWidth="1"/>
    <col min="5" max="5" width="10.42578125" bestFit="1" customWidth="1"/>
    <col min="6" max="6" width="9.140625" bestFit="1" customWidth="1"/>
    <col min="7" max="8" width="5.42578125" bestFit="1" customWidth="1"/>
    <col min="9" max="9" width="11.7109375" customWidth="1"/>
    <col min="10" max="10" width="17.85546875" customWidth="1"/>
    <col min="11" max="11" width="17.42578125" bestFit="1" customWidth="1"/>
    <col min="12" max="12" width="17.85546875" bestFit="1" customWidth="1"/>
    <col min="13" max="13" width="17.42578125" bestFit="1" customWidth="1"/>
    <col min="14" max="14" width="17.85546875" bestFit="1" customWidth="1"/>
    <col min="15" max="15" width="17.42578125" bestFit="1" customWidth="1"/>
    <col min="16" max="16" width="17.85546875" bestFit="1" customWidth="1"/>
    <col min="17" max="17" width="17.42578125" bestFit="1" customWidth="1"/>
    <col min="18" max="18" width="17.85546875" bestFit="1" customWidth="1"/>
    <col min="19" max="19" width="17.42578125" bestFit="1" customWidth="1"/>
    <col min="20" max="20" width="17.85546875" bestFit="1" customWidth="1"/>
    <col min="21" max="21" width="17.42578125" bestFit="1" customWidth="1"/>
    <col min="22" max="22" width="17.85546875" bestFit="1" customWidth="1"/>
    <col min="23" max="23" width="17.42578125" bestFit="1" customWidth="1"/>
    <col min="24" max="24" width="17.85546875" bestFit="1" customWidth="1"/>
    <col min="25" max="25" width="17.42578125" bestFit="1" customWidth="1"/>
    <col min="26" max="26" width="17.85546875" bestFit="1" customWidth="1"/>
    <col min="27" max="27" width="17.42578125" bestFit="1" customWidth="1"/>
    <col min="28" max="28" width="17.85546875" bestFit="1" customWidth="1"/>
    <col min="29" max="29" width="17.42578125" bestFit="1" customWidth="1"/>
    <col min="30" max="30" width="17.85546875" bestFit="1" customWidth="1"/>
    <col min="31" max="31" width="17.42578125" bestFit="1" customWidth="1"/>
    <col min="32" max="32" width="17.85546875" bestFit="1" customWidth="1"/>
    <col min="33" max="33" width="17.42578125" bestFit="1" customWidth="1"/>
    <col min="34" max="34" width="17.85546875" bestFit="1" customWidth="1"/>
    <col min="35" max="35" width="17.42578125" bestFit="1" customWidth="1"/>
    <col min="36" max="36" width="17.85546875" bestFit="1" customWidth="1"/>
    <col min="37" max="37" width="17.42578125" bestFit="1" customWidth="1"/>
    <col min="38" max="38" width="17.85546875" bestFit="1" customWidth="1"/>
    <col min="39" max="39" width="17.42578125" bestFit="1" customWidth="1"/>
    <col min="40" max="40" width="17.85546875" bestFit="1" customWidth="1"/>
    <col min="41" max="41" width="22.42578125" bestFit="1" customWidth="1"/>
    <col min="42" max="42" width="23" bestFit="1" customWidth="1"/>
    <col min="43" max="43" width="20.85546875" bestFit="1" customWidth="1"/>
  </cols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8</v>
      </c>
      <c r="L2" t="s">
        <v>9</v>
      </c>
      <c r="N2" t="s">
        <v>10</v>
      </c>
    </row>
    <row r="3" spans="2:14">
      <c r="B3" s="1">
        <v>45051</v>
      </c>
      <c r="C3" s="9" t="str" cm="1">
        <f t="array" ref="C3">INDEX($N$2:$N$13, MONTH(realna_poraba_cupra__2[[#This Row],[Datum]]))</f>
        <v>Maj</v>
      </c>
      <c r="D3" s="3">
        <v>41.17</v>
      </c>
      <c r="E3" s="6">
        <f>realna_poraba_cupra__2[[#This Row],[Litri]] * INDEX(Table3[Bencin], MATCH(realna_poraba_cupra__2[[#This Row],[Datum]],Table3[Veljavnost], 1))</f>
        <v>58.296720000000001</v>
      </c>
      <c r="F3" s="2">
        <v>41907</v>
      </c>
      <c r="G3" t="s">
        <v>11</v>
      </c>
      <c r="H3" t="s">
        <v>11</v>
      </c>
      <c r="I3" s="3"/>
      <c r="K3" s="1">
        <v>44930</v>
      </c>
      <c r="L3" s="4">
        <v>1.276</v>
      </c>
      <c r="N3" t="s">
        <v>12</v>
      </c>
    </row>
    <row r="4" spans="2:14">
      <c r="B4" s="1">
        <v>45059</v>
      </c>
      <c r="C4" s="9" t="str" cm="1">
        <f t="array" ref="C4">INDEX($N$2:$N$13, MONTH(realna_poraba_cupra__2[[#This Row],[Datum]]))</f>
        <v>Maj</v>
      </c>
      <c r="D4" s="3">
        <v>43.02</v>
      </c>
      <c r="E4" s="6">
        <f>realna_poraba_cupra__2[[#This Row],[Litri]] * INDEX(Table3[Bencin], MATCH(realna_poraba_cupra__2[[#This Row],[Datum]],Table3[Veljavnost], 1))</f>
        <v>59.797800000000002</v>
      </c>
      <c r="F4" s="2">
        <v>42521</v>
      </c>
      <c r="G4" s="2">
        <f>realna_poraba_cupra__2[[#This Row],[Števec]]-F3</f>
        <v>614</v>
      </c>
      <c r="H4" s="3">
        <f>100 * (realna_poraba_cupra__2[[#This Row],[Litri]] / realna_poraba_cupra__2[[#This Row],[Prevoženo]])</f>
        <v>7.006514657980456</v>
      </c>
      <c r="I4" s="3">
        <f>100 * (realna_poraba_cupra__2[[#This Row],[Litri]] / realna_poraba_cupra__2[[#This Row],[Prevoženo]])</f>
        <v>7.006514657980456</v>
      </c>
      <c r="K4" s="1">
        <v>44943</v>
      </c>
      <c r="L4" s="4">
        <v>1.288</v>
      </c>
      <c r="N4" t="s">
        <v>13</v>
      </c>
    </row>
    <row r="5" spans="2:14">
      <c r="B5" s="1">
        <v>45068</v>
      </c>
      <c r="C5" s="9" t="str" cm="1">
        <f t="array" ref="C5">INDEX($N$2:$N$13, MONTH(realna_poraba_cupra__2[[#This Row],[Datum]]))</f>
        <v>Maj</v>
      </c>
      <c r="D5" s="3">
        <v>41.67</v>
      </c>
      <c r="E5" s="6">
        <f>realna_poraba_cupra__2[[#This Row],[Litri]] * INDEX(Table3[Bencin], MATCH(realna_poraba_cupra__2[[#This Row],[Datum]],Table3[Veljavnost], 1))</f>
        <v>57.921299999999995</v>
      </c>
      <c r="F5" s="2">
        <v>43181</v>
      </c>
      <c r="G5" s="2">
        <f>realna_poraba_cupra__2[[#This Row],[Števec]]-F4</f>
        <v>660</v>
      </c>
      <c r="H5" s="3">
        <f>100 * (realna_poraba_cupra__2[[#This Row],[Litri]] / realna_poraba_cupra__2[[#This Row],[Prevoženo]])</f>
        <v>6.3136363636363644</v>
      </c>
      <c r="I5" s="3">
        <f>100 * (realna_poraba_cupra__2[[#This Row],[Litri]] / realna_poraba_cupra__2[[#This Row],[Prevoženo]])</f>
        <v>6.3136363636363644</v>
      </c>
      <c r="K5" s="1">
        <v>44957</v>
      </c>
      <c r="L5" s="4">
        <v>1.355</v>
      </c>
      <c r="N5" t="s">
        <v>14</v>
      </c>
    </row>
    <row r="6" spans="2:14">
      <c r="B6" s="1">
        <v>45073</v>
      </c>
      <c r="C6" s="9" t="str" cm="1">
        <f t="array" ref="C6">INDEX($N$2:$N$13, MONTH(realna_poraba_cupra__2[[#This Row],[Datum]]))</f>
        <v>Maj</v>
      </c>
      <c r="D6" s="3">
        <v>34.04</v>
      </c>
      <c r="E6" s="6">
        <f>realna_poraba_cupra__2[[#This Row],[Litri]] * INDEX(Table3[Bencin], MATCH(realna_poraba_cupra__2[[#This Row],[Datum]],Table3[Veljavnost], 1))</f>
        <v>47.043279999999996</v>
      </c>
      <c r="F6" s="2">
        <v>43696</v>
      </c>
      <c r="G6" s="2">
        <f>realna_poraba_cupra__2[[#This Row],[Števec]]-F5</f>
        <v>515</v>
      </c>
      <c r="H6" s="3">
        <f>100 * (realna_poraba_cupra__2[[#This Row],[Litri]] / realna_poraba_cupra__2[[#This Row],[Prevoženo]])</f>
        <v>6.6097087378640769</v>
      </c>
      <c r="I6" s="3">
        <f>100 * (realna_poraba_cupra__2[[#This Row],[Litri]] / realna_poraba_cupra__2[[#This Row],[Prevoženo]])</f>
        <v>6.6097087378640769</v>
      </c>
      <c r="K6" s="1">
        <v>44971</v>
      </c>
      <c r="L6" s="4">
        <v>1.355</v>
      </c>
      <c r="N6" t="s">
        <v>15</v>
      </c>
    </row>
    <row r="7" spans="2:14">
      <c r="B7" s="1">
        <v>45085</v>
      </c>
      <c r="C7" s="9" t="str" cm="1">
        <f t="array" ref="C7">INDEX($N$2:$N$13, MONTH(realna_poraba_cupra__2[[#This Row],[Datum]]))</f>
        <v>Jun</v>
      </c>
      <c r="D7" s="3">
        <v>42.42</v>
      </c>
      <c r="E7" s="6">
        <f>realna_poraba_cupra__2[[#This Row],[Litri]] * INDEX(Table3[Bencin], MATCH(realna_poraba_cupra__2[[#This Row],[Datum]],Table3[Veljavnost], 1))</f>
        <v>59.897039999999997</v>
      </c>
      <c r="F7" s="2">
        <v>44314</v>
      </c>
      <c r="G7" s="2">
        <f>realna_poraba_cupra__2[[#This Row],[Števec]]-F6</f>
        <v>618</v>
      </c>
      <c r="H7" s="3">
        <f>100 * (realna_poraba_cupra__2[[#This Row],[Litri]] / realna_poraba_cupra__2[[#This Row],[Prevoženo]])</f>
        <v>6.8640776699029127</v>
      </c>
      <c r="I7" s="3">
        <f>100 * (realna_poraba_cupra__2[[#This Row],[Litri]] / realna_poraba_cupra__2[[#This Row],[Prevoženo]])</f>
        <v>6.8640776699029127</v>
      </c>
      <c r="K7" s="1">
        <v>44985</v>
      </c>
      <c r="L7" s="4">
        <v>1.359</v>
      </c>
      <c r="N7" t="s">
        <v>16</v>
      </c>
    </row>
    <row r="8" spans="2:14">
      <c r="B8" s="1">
        <v>45093</v>
      </c>
      <c r="C8" s="9" t="str" cm="1">
        <f t="array" ref="C8">INDEX($N$2:$N$13, MONTH(realna_poraba_cupra__2[[#This Row],[Datum]]))</f>
        <v>Jun</v>
      </c>
      <c r="D8" s="3">
        <v>43.1</v>
      </c>
      <c r="E8" s="6">
        <f>realna_poraba_cupra__2[[#This Row],[Litri]] * INDEX(Table3[Bencin], MATCH(realna_poraba_cupra__2[[#This Row],[Datum]],Table3[Veljavnost], 1))</f>
        <v>60.857199999999999</v>
      </c>
      <c r="F8" s="2">
        <v>44997</v>
      </c>
      <c r="G8" s="2">
        <f>realna_poraba_cupra__2[[#This Row],[Števec]]-F7</f>
        <v>683</v>
      </c>
      <c r="H8" s="3">
        <f>100 * (realna_poraba_cupra__2[[#This Row],[Litri]] / realna_poraba_cupra__2[[#This Row],[Prevoženo]])</f>
        <v>6.3103953147877023</v>
      </c>
      <c r="I8" s="3">
        <f>100 * (realna_poraba_cupra__2[[#This Row],[Litri]] / realna_poraba_cupra__2[[#This Row],[Prevoženo]])</f>
        <v>6.3103953147877023</v>
      </c>
      <c r="K8" s="1">
        <v>44999</v>
      </c>
      <c r="L8" s="4">
        <v>1.3740000000000001</v>
      </c>
      <c r="N8" t="s">
        <v>17</v>
      </c>
    </row>
    <row r="9" spans="2:14">
      <c r="B9" s="1">
        <v>45099</v>
      </c>
      <c r="C9" s="9" t="str" cm="1">
        <f t="array" ref="C9">INDEX($N$2:$N$13, MONTH(realna_poraba_cupra__2[[#This Row],[Datum]]))</f>
        <v>Jun</v>
      </c>
      <c r="D9" s="3">
        <v>38.18</v>
      </c>
      <c r="E9" s="6">
        <f>realna_poraba_cupra__2[[#This Row],[Litri]] * INDEX(Table3[Bencin], MATCH(realna_poraba_cupra__2[[#This Row],[Datum]],Table3[Veljavnost], 1))</f>
        <v>54.368319999999997</v>
      </c>
      <c r="F9" s="2">
        <v>45546</v>
      </c>
      <c r="G9" s="2">
        <f>realna_poraba_cupra__2[[#This Row],[Števec]]-F8</f>
        <v>549</v>
      </c>
      <c r="H9" s="3">
        <f>100 * (realna_poraba_cupra__2[[#This Row],[Litri]] / realna_poraba_cupra__2[[#This Row],[Prevoženo]])</f>
        <v>6.9544626593806917</v>
      </c>
      <c r="I9" s="3">
        <f>100 * (realna_poraba_cupra__2[[#This Row],[Litri]] / realna_poraba_cupra__2[[#This Row],[Prevoženo]])</f>
        <v>6.9544626593806917</v>
      </c>
      <c r="K9" s="1">
        <v>45013</v>
      </c>
      <c r="L9" s="4">
        <v>1.3740000000000001</v>
      </c>
      <c r="N9" t="s">
        <v>18</v>
      </c>
    </row>
    <row r="10" spans="2:14">
      <c r="B10" s="1">
        <v>45113</v>
      </c>
      <c r="C10" s="9" t="str" cm="1">
        <f t="array" ref="C10">INDEX($N$2:$N$13, MONTH(realna_poraba_cupra__2[[#This Row],[Datum]]))</f>
        <v>Jul</v>
      </c>
      <c r="D10" s="3">
        <v>40.659999999999997</v>
      </c>
      <c r="E10" s="6">
        <f>realna_poraba_cupra__2[[#This Row],[Litri]] * INDEX(Table3[Bencin], MATCH(realna_poraba_cupra__2[[#This Row],[Datum]],Table3[Veljavnost], 1))</f>
        <v>58.713039999999992</v>
      </c>
      <c r="F10" s="2">
        <v>46126</v>
      </c>
      <c r="G10" s="2">
        <f>realna_poraba_cupra__2[[#This Row],[Števec]]-F9</f>
        <v>580</v>
      </c>
      <c r="H10" s="3">
        <f>100 * (realna_poraba_cupra__2[[#This Row],[Litri]] / realna_poraba_cupra__2[[#This Row],[Prevoženo]])</f>
        <v>7.0103448275862066</v>
      </c>
      <c r="I10" s="3">
        <f>100 * (realna_poraba_cupra__2[[#This Row],[Litri]] / realna_poraba_cupra__2[[#This Row],[Prevoženo]])</f>
        <v>7.0103448275862066</v>
      </c>
      <c r="K10" s="1">
        <v>45028</v>
      </c>
      <c r="L10" s="4">
        <v>1.4159999999999999</v>
      </c>
      <c r="N10" t="s">
        <v>19</v>
      </c>
    </row>
    <row r="11" spans="2:14">
      <c r="B11" s="1">
        <v>45122</v>
      </c>
      <c r="C11" s="9" t="str" cm="1">
        <f t="array" ref="C11">INDEX($N$2:$N$13, MONTH(realna_poraba_cupra__2[[#This Row],[Datum]]))</f>
        <v>Jul</v>
      </c>
      <c r="D11" s="3">
        <v>39.17</v>
      </c>
      <c r="E11" s="6">
        <f>realna_poraba_cupra__2[[#This Row],[Litri]] * INDEX(Table3[Bencin], MATCH(realna_poraba_cupra__2[[#This Row],[Datum]],Table3[Veljavnost], 1))</f>
        <v>56.561480000000003</v>
      </c>
      <c r="F11" s="2">
        <v>46687</v>
      </c>
      <c r="G11" s="2">
        <f>realna_poraba_cupra__2[[#This Row],[Števec]]-F10</f>
        <v>561</v>
      </c>
      <c r="H11" s="3">
        <f>100 * (realna_poraba_cupra__2[[#This Row],[Litri]] / realna_poraba_cupra__2[[#This Row],[Prevoženo]])</f>
        <v>6.9821746880570412</v>
      </c>
      <c r="I11" s="3">
        <f>100 * (realna_poraba_cupra__2[[#This Row],[Litri]] / realna_poraba_cupra__2[[#This Row],[Prevoženo]])</f>
        <v>6.9821746880570412</v>
      </c>
      <c r="K11" s="1">
        <v>45041</v>
      </c>
      <c r="L11" s="4">
        <v>1.4159999999999999</v>
      </c>
      <c r="N11" t="s">
        <v>20</v>
      </c>
    </row>
    <row r="12" spans="2:14">
      <c r="B12" s="1">
        <v>45129</v>
      </c>
      <c r="C12" s="9" t="str" cm="1">
        <f t="array" ref="C12">INDEX($N$2:$N$13, MONTH(realna_poraba_cupra__2[[#This Row],[Datum]]))</f>
        <v>Jul</v>
      </c>
      <c r="D12" s="3">
        <v>40.29</v>
      </c>
      <c r="E12" s="6">
        <f>realna_poraba_cupra__2[[#This Row],[Litri]] * INDEX(Table3[Bencin], MATCH(realna_poraba_cupra__2[[#This Row],[Datum]],Table3[Veljavnost], 1))</f>
        <v>58.662239999999997</v>
      </c>
      <c r="F12" s="2">
        <v>47250</v>
      </c>
      <c r="G12" s="2">
        <f>realna_poraba_cupra__2[[#This Row],[Števec]]-F11</f>
        <v>563</v>
      </c>
      <c r="H12" s="3">
        <f>100 * (realna_poraba_cupra__2[[#This Row],[Litri]] / realna_poraba_cupra__2[[#This Row],[Prevoženo]])</f>
        <v>7.1563055062166967</v>
      </c>
      <c r="I12" s="3">
        <f>100 * (realna_poraba_cupra__2[[#This Row],[Litri]] / realna_poraba_cupra__2[[#This Row],[Prevoženo]])</f>
        <v>7.1563055062166967</v>
      </c>
      <c r="K12" s="1">
        <v>45055</v>
      </c>
      <c r="L12" s="4">
        <v>1.39</v>
      </c>
      <c r="N12" t="s">
        <v>21</v>
      </c>
    </row>
    <row r="13" spans="2:14">
      <c r="B13" s="1">
        <v>45138</v>
      </c>
      <c r="C13" s="9" t="str" cm="1">
        <f t="array" ref="C13">INDEX($N$2:$N$13, MONTH(realna_poraba_cupra__2[[#This Row],[Datum]]))</f>
        <v>Jul</v>
      </c>
      <c r="D13" s="3">
        <v>41.01</v>
      </c>
      <c r="E13" s="6">
        <f>realna_poraba_cupra__2[[#This Row],[Litri]] * INDEX(Table3[Bencin], MATCH(realna_poraba_cupra__2[[#This Row],[Datum]],Table3[Veljavnost], 1))</f>
        <v>59.710559999999994</v>
      </c>
      <c r="F13" s="2">
        <v>47867</v>
      </c>
      <c r="G13" s="2">
        <f>realna_poraba_cupra__2[[#This Row],[Števec]]-F12</f>
        <v>617</v>
      </c>
      <c r="H13" s="3">
        <f>100 * (realna_poraba_cupra__2[[#This Row],[Litri]] / realna_poraba_cupra__2[[#This Row],[Prevoženo]])</f>
        <v>6.6466774716369521</v>
      </c>
      <c r="I13" s="3">
        <f>100 * (realna_poraba_cupra__2[[#This Row],[Litri]] / realna_poraba_cupra__2[[#This Row],[Prevoženo]])</f>
        <v>6.6466774716369521</v>
      </c>
      <c r="K13" s="1">
        <v>45069</v>
      </c>
      <c r="L13" s="4">
        <v>1.3819999999999999</v>
      </c>
      <c r="N13" t="s">
        <v>22</v>
      </c>
    </row>
    <row r="14" spans="2:14">
      <c r="B14" s="1">
        <v>45151</v>
      </c>
      <c r="C14" s="9" t="str" cm="1">
        <f t="array" ref="C14">INDEX($N$2:$N$13, MONTH(realna_poraba_cupra__2[[#This Row],[Datum]]))</f>
        <v>Avg</v>
      </c>
      <c r="D14" s="3">
        <v>37.18</v>
      </c>
      <c r="E14" s="6">
        <f>realna_poraba_cupra__2[[#This Row],[Litri]] * INDEX(Table3[Bencin], MATCH(realna_poraba_cupra__2[[#This Row],[Datum]],Table3[Veljavnost], 1))</f>
        <v>56.178979999999996</v>
      </c>
      <c r="F14" s="2">
        <v>48407</v>
      </c>
      <c r="G14" s="2">
        <f>realna_poraba_cupra__2[[#This Row],[Števec]]-F13</f>
        <v>540</v>
      </c>
      <c r="H14" s="3">
        <f>100 * (realna_poraba_cupra__2[[#This Row],[Litri]] / realna_poraba_cupra__2[[#This Row],[Prevoženo]])</f>
        <v>6.8851851851851844</v>
      </c>
      <c r="I14" s="3">
        <f>100 * (realna_poraba_cupra__2[[#This Row],[Litri]] / realna_poraba_cupra__2[[#This Row],[Prevoženo]])</f>
        <v>6.8851851851851844</v>
      </c>
      <c r="K14" s="1">
        <v>45083</v>
      </c>
      <c r="L14" s="4">
        <v>1.4119999999999999</v>
      </c>
    </row>
    <row r="15" spans="2:14">
      <c r="B15" s="1">
        <v>45163</v>
      </c>
      <c r="C15" s="9" t="str" cm="1">
        <f t="array" ref="C15">INDEX($N$2:$N$13, MONTH(realna_poraba_cupra__2[[#This Row],[Datum]]))</f>
        <v>Avg</v>
      </c>
      <c r="D15" s="3">
        <v>41.46</v>
      </c>
      <c r="E15" s="6">
        <f>realna_poraba_cupra__2[[#This Row],[Litri]] * INDEX(Table3[Bencin], MATCH(realna_poraba_cupra__2[[#This Row],[Datum]],Table3[Veljavnost], 1))</f>
        <v>62.646059999999999</v>
      </c>
      <c r="F15" s="2">
        <v>49005</v>
      </c>
      <c r="G15" s="2">
        <f>realna_poraba_cupra__2[[#This Row],[Števec]]-F14</f>
        <v>598</v>
      </c>
      <c r="H15" s="3">
        <f>100 * (realna_poraba_cupra__2[[#This Row],[Litri]] / realna_poraba_cupra__2[[#This Row],[Prevoženo]])</f>
        <v>6.9331103678929766</v>
      </c>
      <c r="I15" s="3">
        <f>100 * (realna_poraba_cupra__2[[#This Row],[Litri]] / realna_poraba_cupra__2[[#This Row],[Prevoženo]])</f>
        <v>6.9331103678929766</v>
      </c>
      <c r="K15" s="1">
        <v>45097</v>
      </c>
      <c r="L15" s="4">
        <v>1.4239999999999999</v>
      </c>
    </row>
    <row r="16" spans="2:14">
      <c r="B16" s="1">
        <v>45175</v>
      </c>
      <c r="C16" s="9" t="str" cm="1">
        <f t="array" ref="C16">INDEX($N$2:$N$13, MONTH(realna_poraba_cupra__2[[#This Row],[Datum]]))</f>
        <v>Sep</v>
      </c>
      <c r="D16" s="3">
        <v>35.97</v>
      </c>
      <c r="E16" s="6">
        <f>realna_poraba_cupra__2[[#This Row],[Litri]] * INDEX(Table3[Bencin], MATCH(realna_poraba_cupra__2[[#This Row],[Datum]],Table3[Veljavnost], 1))</f>
        <v>55.537680000000002</v>
      </c>
      <c r="F16" s="2">
        <v>49480</v>
      </c>
      <c r="G16" s="2">
        <f>realna_poraba_cupra__2[[#This Row],[Števec]]-F15</f>
        <v>475</v>
      </c>
      <c r="H16" s="3">
        <f>100 * (realna_poraba_cupra__2[[#This Row],[Litri]] / realna_poraba_cupra__2[[#This Row],[Prevoženo]])</f>
        <v>7.5726315789473686</v>
      </c>
      <c r="I16" s="3">
        <f>100 * (realna_poraba_cupra__2[[#This Row],[Litri]] / realna_poraba_cupra__2[[#This Row],[Prevoženo]])</f>
        <v>7.5726315789473686</v>
      </c>
      <c r="K16" s="1">
        <v>45111</v>
      </c>
      <c r="L16" s="4">
        <v>1.444</v>
      </c>
    </row>
    <row r="17" spans="2:12">
      <c r="B17" s="1">
        <v>45184</v>
      </c>
      <c r="C17" s="9" t="str" cm="1">
        <f t="array" ref="C17">INDEX($N$2:$N$13, MONTH(realna_poraba_cupra__2[[#This Row],[Datum]]))</f>
        <v>Sep</v>
      </c>
      <c r="D17" s="3">
        <v>38.74</v>
      </c>
      <c r="E17" s="6">
        <f>realna_poraba_cupra__2[[#This Row],[Litri]] * INDEX(Table3[Bencin], MATCH(realna_poraba_cupra__2[[#This Row],[Datum]],Table3[Veljavnost], 1))</f>
        <v>60.085740000000001</v>
      </c>
      <c r="F17" s="2">
        <v>50012</v>
      </c>
      <c r="G17" s="2">
        <f>realna_poraba_cupra__2[[#This Row],[Števec]]-F16</f>
        <v>532</v>
      </c>
      <c r="H17" s="3">
        <f>100 * (realna_poraba_cupra__2[[#This Row],[Litri]] / realna_poraba_cupra__2[[#This Row],[Prevoženo]])</f>
        <v>7.2819548872180455</v>
      </c>
      <c r="I17" s="3">
        <f>100 * (realna_poraba_cupra__2[[#This Row],[Litri]] / realna_poraba_cupra__2[[#This Row],[Prevoženo]])</f>
        <v>7.2819548872180455</v>
      </c>
      <c r="K17" s="1">
        <v>45125</v>
      </c>
      <c r="L17" s="4">
        <v>1.456</v>
      </c>
    </row>
    <row r="18" spans="2:12">
      <c r="B18" s="1">
        <v>45191</v>
      </c>
      <c r="C18" s="9" t="str" cm="1">
        <f t="array" ref="C18">INDEX($N$2:$N$13, MONTH(realna_poraba_cupra__2[[#This Row],[Datum]]))</f>
        <v>Sep</v>
      </c>
      <c r="D18" s="3">
        <v>36.130000000000003</v>
      </c>
      <c r="E18" s="6">
        <f>realna_poraba_cupra__2[[#This Row],[Litri]] * INDEX(Table3[Bencin], MATCH(realna_poraba_cupra__2[[#This Row],[Datum]],Table3[Veljavnost], 1))</f>
        <v>56.03763</v>
      </c>
      <c r="F18" s="2">
        <v>50458</v>
      </c>
      <c r="G18" s="2">
        <f>realna_poraba_cupra__2[[#This Row],[Števec]]-F17</f>
        <v>446</v>
      </c>
      <c r="H18" s="3">
        <f>100 * (realna_poraba_cupra__2[[#This Row],[Litri]] / realna_poraba_cupra__2[[#This Row],[Prevoženo]])</f>
        <v>8.1008968609865484</v>
      </c>
      <c r="I18" s="3">
        <f>100 * (realna_poraba_cupra__2[[#This Row],[Litri]] / realna_poraba_cupra__2[[#This Row],[Prevoženo]])</f>
        <v>8.1008968609865484</v>
      </c>
      <c r="K18" s="1">
        <v>45139</v>
      </c>
      <c r="L18" s="4">
        <v>1.5109999999999999</v>
      </c>
    </row>
    <row r="19" spans="2:12">
      <c r="B19" s="1">
        <v>45198</v>
      </c>
      <c r="C19" s="9" t="str" cm="1">
        <f t="array" ref="C19">INDEX($N$2:$N$13, MONTH(realna_poraba_cupra__2[[#This Row],[Datum]]))</f>
        <v>Sep</v>
      </c>
      <c r="D19" s="3">
        <v>38.51</v>
      </c>
      <c r="E19" s="6">
        <f>realna_poraba_cupra__2[[#This Row],[Litri]] * INDEX(Table3[Bencin], MATCH(realna_poraba_cupra__2[[#This Row],[Datum]],Table3[Veljavnost], 1))</f>
        <v>61.153880000000001</v>
      </c>
      <c r="F19" s="2">
        <v>50991</v>
      </c>
      <c r="G19" s="2">
        <f>realna_poraba_cupra__2[[#This Row],[Števec]]-F18</f>
        <v>533</v>
      </c>
      <c r="H19" s="3">
        <f>100 * (realna_poraba_cupra__2[[#This Row],[Litri]] / realna_poraba_cupra__2[[#This Row],[Prevoženo]])</f>
        <v>7.2251407129455911</v>
      </c>
      <c r="I19" s="3">
        <f>100 * (realna_poraba_cupra__2[[#This Row],[Litri]] / realna_poraba_cupra__2[[#This Row],[Prevoženo]])</f>
        <v>7.2251407129455911</v>
      </c>
      <c r="K19" s="1">
        <v>45155</v>
      </c>
      <c r="L19" s="4">
        <v>1.5109999999999999</v>
      </c>
    </row>
    <row r="20" spans="2:12">
      <c r="B20" s="1">
        <v>45205</v>
      </c>
      <c r="C20" s="9" t="str" cm="1">
        <f t="array" ref="C20">INDEX($N$2:$N$13, MONTH(realna_poraba_cupra__2[[#This Row],[Datum]]))</f>
        <v>Okt</v>
      </c>
      <c r="D20" s="3">
        <v>38.840000000000003</v>
      </c>
      <c r="E20" s="6">
        <f>realna_poraba_cupra__2[[#This Row],[Litri]] * INDEX(Table3[Bencin], MATCH(realna_poraba_cupra__2[[#This Row],[Datum]],Table3[Veljavnost], 1))</f>
        <v>61.677920000000007</v>
      </c>
      <c r="F20" s="2">
        <v>51593</v>
      </c>
      <c r="G20" s="2">
        <f>realna_poraba_cupra__2[[#This Row],[Števec]]-F19</f>
        <v>602</v>
      </c>
      <c r="H20" s="3">
        <f>100 * (realna_poraba_cupra__2[[#This Row],[Litri]] / realna_poraba_cupra__2[[#This Row],[Prevoženo]])</f>
        <v>6.4518272425249172</v>
      </c>
      <c r="I20" s="3">
        <f>100 * (realna_poraba_cupra__2[[#This Row],[Litri]] / realna_poraba_cupra__2[[#This Row],[Prevoženo]])</f>
        <v>6.4518272425249172</v>
      </c>
      <c r="K20" s="1">
        <v>45167</v>
      </c>
      <c r="L20" s="4">
        <v>1.544</v>
      </c>
    </row>
    <row r="21" spans="2:12">
      <c r="B21" s="1">
        <v>45213</v>
      </c>
      <c r="C21" s="9" t="str" cm="1">
        <f t="array" ref="C21">INDEX($N$2:$N$13, MONTH(realna_poraba_cupra__2[[#This Row],[Datum]]))</f>
        <v>Okt</v>
      </c>
      <c r="D21" s="3">
        <v>41.73</v>
      </c>
      <c r="E21" s="6">
        <f>realna_poraba_cupra__2[[#This Row],[Litri]] * INDEX(Table3[Bencin], MATCH(realna_poraba_cupra__2[[#This Row],[Datum]],Table3[Veljavnost], 1))</f>
        <v>64.097279999999998</v>
      </c>
      <c r="F21" s="2">
        <v>52176</v>
      </c>
      <c r="G21" s="2">
        <f>realna_poraba_cupra__2[[#This Row],[Števec]]-F20</f>
        <v>583</v>
      </c>
      <c r="H21" s="3">
        <f>100 * (realna_poraba_cupra__2[[#This Row],[Litri]] / realna_poraba_cupra__2[[#This Row],[Prevoženo]])</f>
        <v>7.1578044596912509</v>
      </c>
      <c r="I21" s="3">
        <f>100 * (realna_poraba_cupra__2[[#This Row],[Litri]] / realna_poraba_cupra__2[[#This Row],[Prevoženo]])</f>
        <v>7.1578044596912509</v>
      </c>
      <c r="K21" s="1">
        <v>45181</v>
      </c>
      <c r="L21" s="4">
        <v>1.5509999999999999</v>
      </c>
    </row>
    <row r="22" spans="2:12">
      <c r="K22" s="1">
        <v>45195</v>
      </c>
      <c r="L22" s="4">
        <v>1.5880000000000001</v>
      </c>
    </row>
    <row r="23" spans="2:12">
      <c r="B23" s="7" t="s">
        <v>1</v>
      </c>
      <c r="C23" t="s">
        <v>23</v>
      </c>
      <c r="D23" t="s">
        <v>24</v>
      </c>
      <c r="K23" s="1">
        <v>45209</v>
      </c>
      <c r="L23" s="4">
        <v>1.536</v>
      </c>
    </row>
    <row r="24" spans="2:12">
      <c r="B24" t="s">
        <v>15</v>
      </c>
      <c r="C24" s="8">
        <v>1789</v>
      </c>
      <c r="D24" s="3">
        <v>6.643286586493633</v>
      </c>
      <c r="K24" s="1">
        <v>45223</v>
      </c>
      <c r="L24" s="4">
        <v>1.536</v>
      </c>
    </row>
    <row r="25" spans="2:12">
      <c r="B25" t="s">
        <v>16</v>
      </c>
      <c r="C25" s="8">
        <v>1850</v>
      </c>
      <c r="D25" s="3">
        <v>6.7096452146904353</v>
      </c>
      <c r="K25" s="1">
        <v>45237</v>
      </c>
      <c r="L25" s="4">
        <v>1.534</v>
      </c>
    </row>
    <row r="26" spans="2:12">
      <c r="B26" t="s">
        <v>17</v>
      </c>
      <c r="C26" s="8">
        <v>2321</v>
      </c>
      <c r="D26" s="3">
        <v>6.9488756233742244</v>
      </c>
      <c r="F26" s="5"/>
    </row>
    <row r="27" spans="2:12">
      <c r="B27" t="s">
        <v>18</v>
      </c>
      <c r="C27" s="8">
        <v>1138</v>
      </c>
      <c r="D27" s="3">
        <v>6.909147776539081</v>
      </c>
    </row>
    <row r="28" spans="2:12">
      <c r="B28" t="s">
        <v>19</v>
      </c>
      <c r="C28" s="8">
        <v>1986</v>
      </c>
      <c r="D28" s="3">
        <v>7.5451560100243888</v>
      </c>
    </row>
    <row r="29" spans="2:12">
      <c r="B29" t="s">
        <v>20</v>
      </c>
      <c r="C29" s="8">
        <v>1185</v>
      </c>
      <c r="D29" s="3">
        <v>6.8048158511080841</v>
      </c>
    </row>
    <row r="30" spans="2:12">
      <c r="B30" t="s">
        <v>25</v>
      </c>
      <c r="C30" s="8">
        <v>10269</v>
      </c>
      <c r="D30" s="3">
        <v>6.9701582884689435</v>
      </c>
    </row>
  </sheetData>
  <conditionalFormatting sqref="I4:I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{3496FB39-14ED-42C4-950E-B0C07FC13587}</x14:id>
        </ext>
      </extLst>
    </cfRule>
  </conditionalFormatting>
  <conditionalFormatting sqref="I4:I21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96FB39-14ED-42C4-950E-B0C07FC13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FMF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Matjaž Zaveršnik</dc:creator>
  <cp:keywords/>
  <dc:description/>
  <cp:lastModifiedBy/>
  <cp:revision/>
  <dcterms:created xsi:type="dcterms:W3CDTF">2007-10-01T06:54:22Z</dcterms:created>
  <dcterms:modified xsi:type="dcterms:W3CDTF">2025-12-08T01:10:18Z</dcterms:modified>
  <cp:category/>
  <cp:contentStatus/>
</cp:coreProperties>
</file>