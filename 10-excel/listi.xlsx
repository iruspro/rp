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4B0283A7-309A-44B6-9FDD-C30F1E640258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Obresti" sheetId="2" r:id="rId1"/>
    <sheet name="Barva" sheetId="3" r:id="rId2"/>
    <sheet name="Množenje" sheetId="4" r:id="rId3"/>
    <sheet name="Padavine" sheetId="5" r:id="rId4"/>
  </sheets>
  <definedNames>
    <definedName name="delez1">Padavine!$C$4:$H$4</definedName>
    <definedName name="delez2">Padavine!$C$8:$H$8</definedName>
    <definedName name="padavine1">Padavine!$C$3:$H$3</definedName>
    <definedName name="padavine2">Padavine!$C$7:$H$7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E12" i="5"/>
  <c r="E10" i="5"/>
  <c r="E11" i="5"/>
  <c r="H8" i="5"/>
  <c r="G8" i="5"/>
  <c r="F8" i="5"/>
  <c r="E8" i="5"/>
  <c r="D8" i="5"/>
  <c r="C8" i="5"/>
  <c r="D4" i="5"/>
  <c r="E4" i="5"/>
  <c r="F4" i="5"/>
  <c r="G4" i="5"/>
  <c r="H4" i="5"/>
  <c r="C4" i="5"/>
  <c r="C4" i="4"/>
  <c r="D4" i="4"/>
  <c r="E4" i="4"/>
  <c r="F4" i="4"/>
  <c r="G4" i="4"/>
  <c r="H4" i="4"/>
  <c r="I4" i="4"/>
  <c r="J4" i="4"/>
  <c r="K4" i="4"/>
  <c r="L4" i="4"/>
  <c r="C5" i="4"/>
  <c r="D5" i="4"/>
  <c r="E5" i="4"/>
  <c r="F5" i="4"/>
  <c r="G5" i="4"/>
  <c r="H5" i="4"/>
  <c r="I5" i="4"/>
  <c r="J5" i="4"/>
  <c r="K5" i="4"/>
  <c r="L5" i="4"/>
  <c r="C6" i="4"/>
  <c r="D6" i="4"/>
  <c r="E6" i="4"/>
  <c r="F6" i="4"/>
  <c r="G6" i="4"/>
  <c r="H6" i="4"/>
  <c r="I6" i="4"/>
  <c r="J6" i="4"/>
  <c r="K6" i="4"/>
  <c r="L6" i="4"/>
  <c r="C7" i="4"/>
  <c r="D7" i="4"/>
  <c r="E7" i="4"/>
  <c r="F7" i="4"/>
  <c r="G7" i="4"/>
  <c r="H7" i="4"/>
  <c r="I7" i="4"/>
  <c r="J7" i="4"/>
  <c r="K7" i="4"/>
  <c r="L7" i="4"/>
  <c r="C8" i="4"/>
  <c r="D8" i="4"/>
  <c r="E8" i="4"/>
  <c r="F8" i="4"/>
  <c r="G8" i="4"/>
  <c r="H8" i="4"/>
  <c r="I8" i="4"/>
  <c r="J8" i="4"/>
  <c r="K8" i="4"/>
  <c r="L8" i="4"/>
  <c r="C9" i="4"/>
  <c r="D9" i="4"/>
  <c r="E9" i="4"/>
  <c r="F9" i="4"/>
  <c r="G9" i="4"/>
  <c r="H9" i="4"/>
  <c r="I9" i="4"/>
  <c r="J9" i="4"/>
  <c r="K9" i="4"/>
  <c r="L9" i="4"/>
  <c r="C10" i="4"/>
  <c r="D10" i="4"/>
  <c r="E10" i="4"/>
  <c r="F10" i="4"/>
  <c r="G10" i="4"/>
  <c r="H10" i="4"/>
  <c r="I10" i="4"/>
  <c r="J10" i="4"/>
  <c r="K10" i="4"/>
  <c r="L10" i="4"/>
  <c r="C11" i="4"/>
  <c r="D11" i="4"/>
  <c r="E11" i="4"/>
  <c r="F11" i="4"/>
  <c r="G11" i="4"/>
  <c r="H11" i="4"/>
  <c r="I11" i="4"/>
  <c r="J11" i="4"/>
  <c r="K11" i="4"/>
  <c r="L11" i="4"/>
  <c r="C12" i="4"/>
  <c r="D12" i="4"/>
  <c r="E12" i="4"/>
  <c r="F12" i="4"/>
  <c r="G12" i="4"/>
  <c r="H12" i="4"/>
  <c r="I12" i="4"/>
  <c r="J12" i="4"/>
  <c r="K12" i="4"/>
  <c r="L12" i="4"/>
  <c r="D3" i="4"/>
  <c r="E3" i="4"/>
  <c r="F3" i="4"/>
  <c r="G3" i="4"/>
  <c r="H3" i="4"/>
  <c r="I3" i="4"/>
  <c r="J3" i="4"/>
  <c r="K3" i="4"/>
  <c r="L3" i="4"/>
  <c r="C3" i="4"/>
  <c r="B4" i="4"/>
  <c r="B5" i="4"/>
  <c r="B6" i="4"/>
  <c r="B7" i="4"/>
  <c r="B8" i="4"/>
  <c r="B9" i="4"/>
  <c r="B10" i="4"/>
  <c r="B11" i="4"/>
  <c r="B12" i="4"/>
  <c r="B3" i="4"/>
  <c r="J2" i="4"/>
  <c r="K2" i="4"/>
  <c r="L2" i="4"/>
  <c r="D2" i="4"/>
  <c r="E2" i="4"/>
  <c r="F2" i="4"/>
  <c r="G2" i="4"/>
  <c r="H2" i="4"/>
  <c r="I2" i="4"/>
  <c r="C2" i="4"/>
  <c r="C10" i="3"/>
  <c r="C9" i="3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</calcChain>
</file>

<file path=xl/sharedStrings.xml><?xml version="1.0" encoding="utf-8"?>
<sst xmlns="http://schemas.openxmlformats.org/spreadsheetml/2006/main" count="38" uniqueCount="35">
  <si>
    <t>Leto</t>
  </si>
  <si>
    <t xml:space="preserve"> Stanje</t>
  </si>
  <si>
    <t>Barvanje sobe</t>
  </si>
  <si>
    <t>Datum:</t>
  </si>
  <si>
    <t>Širina sobe</t>
  </si>
  <si>
    <t xml:space="preserve"> 4,15</t>
  </si>
  <si>
    <t>Dolžina sobe</t>
  </si>
  <si>
    <t xml:space="preserve"> 3,3</t>
  </si>
  <si>
    <t>Višina sobe</t>
  </si>
  <si>
    <t xml:space="preserve"> 2,65</t>
  </si>
  <si>
    <t>Količina barve za m²</t>
  </si>
  <si>
    <t xml:space="preserve"> 0,5</t>
  </si>
  <si>
    <t>Cena barve za kg</t>
  </si>
  <si>
    <t xml:space="preserve"> 1,1</t>
  </si>
  <si>
    <t>Površina</t>
  </si>
  <si>
    <t>Cena barve</t>
  </si>
  <si>
    <t>Mesec</t>
  </si>
  <si>
    <t xml:space="preserve"> jan</t>
  </si>
  <si>
    <t xml:space="preserve"> feb</t>
  </si>
  <si>
    <t xml:space="preserve"> mar</t>
  </si>
  <si>
    <t xml:space="preserve"> apr</t>
  </si>
  <si>
    <t xml:space="preserve"> maj</t>
  </si>
  <si>
    <t xml:space="preserve"> jun</t>
  </si>
  <si>
    <t>Padavine</t>
  </si>
  <si>
    <t>Delež</t>
  </si>
  <si>
    <t xml:space="preserve"> jul</t>
  </si>
  <si>
    <t xml:space="preserve"> avg</t>
  </si>
  <si>
    <t xml:space="preserve"> sep</t>
  </si>
  <si>
    <t xml:space="preserve"> okt</t>
  </si>
  <si>
    <t xml:space="preserve"> nov</t>
  </si>
  <si>
    <t xml:space="preserve"> dec</t>
  </si>
  <si>
    <t>Letna količina</t>
  </si>
  <si>
    <t>Največja mesečna količina</t>
  </si>
  <si>
    <t>Najmanjša mesečna količina</t>
  </si>
  <si>
    <t>Povprečna mesečna količina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</si>
</sst>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Padavine!$C$2:$H$2,Padavine!$C$6:$H$6</c:f>
              <c:multiLvlStrCache>
                <c:ptCount val="6"/>
                <c:lvl>
                  <c:pt idx="0">
                    <c:v> jul</c:v>
                  </c:pt>
                  <c:pt idx="1">
                    <c:v> avg</c:v>
                  </c:pt>
                  <c:pt idx="2">
                    <c:v> sep</c:v>
                  </c:pt>
                  <c:pt idx="3">
                    <c:v> okt</c:v>
                  </c:pt>
                  <c:pt idx="4">
                    <c:v> nov</c:v>
                  </c:pt>
                  <c:pt idx="5">
                    <c:v> dec</c:v>
                  </c:pt>
                </c:lvl>
                <c:lvl>
                  <c:pt idx="0">
                    <c:v> jan</c:v>
                  </c:pt>
                  <c:pt idx="1">
                    <c:v> feb</c:v>
                  </c:pt>
                  <c:pt idx="2">
                    <c:v> mar</c:v>
                  </c:pt>
                  <c:pt idx="3">
                    <c:v> apr</c:v>
                  </c:pt>
                  <c:pt idx="4">
                    <c:v> maj</c:v>
                  </c:pt>
                  <c:pt idx="5">
                    <c:v> jun</c:v>
                  </c:pt>
                </c:lvl>
              </c:multiLvlStrCache>
            </c:multiLvlStrRef>
          </c:cat>
          <c:val>
            <c:numRef>
              <c:f>Padavine!C3:H3</c:f>
              <c:numCache>
                <c:formatCode>General</c:formatCode>
                <c:ptCount val="6"/>
                <c:pt idx="0">
                  <c:v>120</c:v>
                </c:pt>
                <c:pt idx="1">
                  <c:v>45</c:v>
                </c:pt>
                <c:pt idx="2">
                  <c:v>60</c:v>
                </c:pt>
                <c:pt idx="3">
                  <c:v>210</c:v>
                </c:pt>
                <c:pt idx="4">
                  <c:v>160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C03-4513-AC0F-AEB3E7E55760}"/>
            </c:ext>
          </c:extLst>
        </c:ser>
        <c:ser>
          <c:idx val="1"/>
          <c:order val="1"/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Padavine!$C$2:$H$2,Padavine!$C$6:$H$6</c:f>
              <c:multiLvlStrCache>
                <c:ptCount val="6"/>
                <c:lvl>
                  <c:pt idx="0">
                    <c:v> jul</c:v>
                  </c:pt>
                  <c:pt idx="1">
                    <c:v> avg</c:v>
                  </c:pt>
                  <c:pt idx="2">
                    <c:v> sep</c:v>
                  </c:pt>
                  <c:pt idx="3">
                    <c:v> okt</c:v>
                  </c:pt>
                  <c:pt idx="4">
                    <c:v> nov</c:v>
                  </c:pt>
                  <c:pt idx="5">
                    <c:v> dec</c:v>
                  </c:pt>
                </c:lvl>
                <c:lvl>
                  <c:pt idx="0">
                    <c:v> jan</c:v>
                  </c:pt>
                  <c:pt idx="1">
                    <c:v> feb</c:v>
                  </c:pt>
                  <c:pt idx="2">
                    <c:v> mar</c:v>
                  </c:pt>
                  <c:pt idx="3">
                    <c:v> apr</c:v>
                  </c:pt>
                  <c:pt idx="4">
                    <c:v> maj</c:v>
                  </c:pt>
                  <c:pt idx="5">
                    <c:v> jun</c:v>
                  </c:pt>
                </c:lvl>
              </c:multiLvlStrCache>
            </c:multiLvlStrRef>
          </c:cat>
          <c:val>
            <c:numRef>
              <c:f>Padavine!C7:H7</c:f>
              <c:numCache>
                <c:formatCode>General</c:formatCode>
                <c:ptCount val="6"/>
                <c:pt idx="0">
                  <c:v>20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90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C03-4513-AC0F-AEB3E7E55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567367"/>
        <c:axId val="895578119"/>
      </c:barChart>
      <c:catAx>
        <c:axId val="895567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Meseci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578119"/>
        <c:crosses val="autoZero"/>
        <c:auto val="1"/>
        <c:lblAlgn val="ctr"/>
        <c:lblOffset val="100"/>
        <c:noMultiLvlLbl val="0"/>
      </c:catAx>
      <c:valAx>
        <c:axId val="895578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Padavine v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567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466725</xdr:colOff>
      <xdr:row>1</xdr:row>
      <xdr:rowOff>9525</xdr:rowOff>
    </xdr:from>
    <xdr:to>
      <xdr:col>16</xdr:col>
      <xdr:colOff>161925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4C39C-E231-37C6-CB94-37F734F53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C8E8-F3DA-41E0-A641-55A63426FCE7}">
  <dimension ref="B2:C38"/>
  <sheetViews>
    <sheetView workbookViewId="0">
      <selection activeCell="F3" sqref="F3"/>
    </sheetView>
  </sheetViews>
  <sheetFormatPr defaultRowHeight="15"/>
  <cols>
    <col min="3" max="3" width="7.140625" bestFit="1" customWidth="1"/>
  </cols>
  <sheetData>
    <row r="2" spans="2:3">
      <c r="B2" s="9" t="s">
        <v>0</v>
      </c>
      <c r="C2" s="9" t="s">
        <v>1</v>
      </c>
    </row>
    <row r="3" spans="2:3">
      <c r="B3" s="9">
        <v>1972</v>
      </c>
      <c r="C3" s="9">
        <v>123.43</v>
      </c>
    </row>
    <row r="4" spans="2:3">
      <c r="B4" s="9">
        <v>1973</v>
      </c>
      <c r="C4" s="9">
        <f>ROUND(C3*1.0475, 2)</f>
        <v>129.29</v>
      </c>
    </row>
    <row r="5" spans="2:3">
      <c r="B5" s="9">
        <v>1974</v>
      </c>
      <c r="C5" s="9">
        <f>ROUND(C4*1.0475, 2)</f>
        <v>135.43</v>
      </c>
    </row>
    <row r="6" spans="2:3">
      <c r="B6" s="9">
        <v>1975</v>
      </c>
      <c r="C6" s="9">
        <f t="shared" ref="C6:C24" si="0">ROUND(C5*1.0475, 2)</f>
        <v>141.86000000000001</v>
      </c>
    </row>
    <row r="7" spans="2:3">
      <c r="B7" s="9">
        <v>1976</v>
      </c>
      <c r="C7" s="9">
        <f t="shared" si="0"/>
        <v>148.6</v>
      </c>
    </row>
    <row r="8" spans="2:3">
      <c r="B8" s="9">
        <v>1977</v>
      </c>
      <c r="C8" s="9">
        <f t="shared" si="0"/>
        <v>155.66</v>
      </c>
    </row>
    <row r="9" spans="2:3">
      <c r="B9" s="9">
        <v>1978</v>
      </c>
      <c r="C9" s="9">
        <f t="shared" si="0"/>
        <v>163.05000000000001</v>
      </c>
    </row>
    <row r="10" spans="2:3">
      <c r="B10" s="9">
        <v>1979</v>
      </c>
      <c r="C10" s="9">
        <f t="shared" si="0"/>
        <v>170.79</v>
      </c>
    </row>
    <row r="11" spans="2:3">
      <c r="B11" s="9">
        <v>1980</v>
      </c>
      <c r="C11" s="9">
        <f t="shared" si="0"/>
        <v>178.9</v>
      </c>
    </row>
    <row r="12" spans="2:3">
      <c r="B12" s="9">
        <v>1981</v>
      </c>
      <c r="C12" s="9">
        <f t="shared" si="0"/>
        <v>187.4</v>
      </c>
    </row>
    <row r="13" spans="2:3">
      <c r="B13" s="9">
        <v>1982</v>
      </c>
      <c r="C13" s="9">
        <f t="shared" si="0"/>
        <v>196.3</v>
      </c>
    </row>
    <row r="14" spans="2:3">
      <c r="B14" s="9">
        <v>1983</v>
      </c>
      <c r="C14" s="9">
        <f t="shared" si="0"/>
        <v>205.62</v>
      </c>
    </row>
    <row r="15" spans="2:3">
      <c r="B15" s="9">
        <v>1984</v>
      </c>
      <c r="C15" s="9">
        <f t="shared" si="0"/>
        <v>215.39</v>
      </c>
    </row>
    <row r="16" spans="2:3">
      <c r="B16" s="9">
        <v>1985</v>
      </c>
      <c r="C16" s="9">
        <f t="shared" si="0"/>
        <v>225.62</v>
      </c>
    </row>
    <row r="17" spans="2:3">
      <c r="B17" s="9">
        <v>1986</v>
      </c>
      <c r="C17" s="9">
        <f t="shared" si="0"/>
        <v>236.34</v>
      </c>
    </row>
    <row r="18" spans="2:3">
      <c r="B18" s="9">
        <v>1987</v>
      </c>
      <c r="C18" s="9">
        <f t="shared" si="0"/>
        <v>247.57</v>
      </c>
    </row>
    <row r="19" spans="2:3">
      <c r="B19" s="9">
        <v>1988</v>
      </c>
      <c r="C19" s="9">
        <f t="shared" si="0"/>
        <v>259.33</v>
      </c>
    </row>
    <row r="20" spans="2:3">
      <c r="B20" s="9">
        <v>1989</v>
      </c>
      <c r="C20" s="9">
        <f t="shared" si="0"/>
        <v>271.64999999999998</v>
      </c>
    </row>
    <row r="21" spans="2:3">
      <c r="B21" s="9">
        <v>1990</v>
      </c>
      <c r="C21" s="9">
        <f t="shared" si="0"/>
        <v>284.55</v>
      </c>
    </row>
    <row r="22" spans="2:3">
      <c r="B22" s="9">
        <v>1991</v>
      </c>
      <c r="C22" s="9">
        <f t="shared" si="0"/>
        <v>298.07</v>
      </c>
    </row>
    <row r="23" spans="2:3">
      <c r="B23" s="9">
        <v>1992</v>
      </c>
      <c r="C23" s="9">
        <f t="shared" si="0"/>
        <v>312.23</v>
      </c>
    </row>
    <row r="24" spans="2:3">
      <c r="B24" s="9">
        <v>1993</v>
      </c>
      <c r="C24" s="9">
        <f t="shared" si="0"/>
        <v>327.06</v>
      </c>
    </row>
    <row r="25" spans="2:3">
      <c r="B25" s="9">
        <v>1994</v>
      </c>
      <c r="C25" s="9">
        <f>ROUND(C24*1.0475, 2)</f>
        <v>342.6</v>
      </c>
    </row>
    <row r="26" spans="2:3">
      <c r="B26" s="9">
        <v>1995</v>
      </c>
      <c r="C26" s="9">
        <f>ROUND(C25*1.0475, 2)</f>
        <v>358.87</v>
      </c>
    </row>
    <row r="27" spans="2:3">
      <c r="B27" s="9">
        <v>1996</v>
      </c>
      <c r="C27" s="9">
        <f t="shared" ref="C27:C34" si="1">ROUND(C26*1.0475, 2)</f>
        <v>375.92</v>
      </c>
    </row>
    <row r="28" spans="2:3">
      <c r="B28" s="9">
        <v>1997</v>
      </c>
      <c r="C28" s="9">
        <f t="shared" si="1"/>
        <v>393.78</v>
      </c>
    </row>
    <row r="29" spans="2:3">
      <c r="B29" s="9">
        <v>1998</v>
      </c>
      <c r="C29" s="9">
        <f t="shared" si="1"/>
        <v>412.48</v>
      </c>
    </row>
    <row r="30" spans="2:3">
      <c r="B30" s="9">
        <v>1999</v>
      </c>
      <c r="C30" s="9">
        <f t="shared" si="1"/>
        <v>432.07</v>
      </c>
    </row>
    <row r="31" spans="2:3">
      <c r="B31" s="9">
        <v>2000</v>
      </c>
      <c r="C31" s="9">
        <f t="shared" si="1"/>
        <v>452.59</v>
      </c>
    </row>
    <row r="32" spans="2:3">
      <c r="B32" s="9">
        <v>2001</v>
      </c>
      <c r="C32" s="9">
        <f t="shared" si="1"/>
        <v>474.09</v>
      </c>
    </row>
    <row r="33" spans="2:3">
      <c r="B33" s="9">
        <v>2002</v>
      </c>
      <c r="C33" s="9">
        <f t="shared" si="1"/>
        <v>496.61</v>
      </c>
    </row>
    <row r="34" spans="2:3">
      <c r="B34" s="9">
        <v>2003</v>
      </c>
      <c r="C34" s="9">
        <f t="shared" si="1"/>
        <v>520.20000000000005</v>
      </c>
    </row>
    <row r="35" spans="2:3">
      <c r="B35" s="9">
        <v>2004</v>
      </c>
      <c r="C35" s="9">
        <f>ROUND(C34*1.0475, 2)</f>
        <v>544.91</v>
      </c>
    </row>
    <row r="36" spans="2:3">
      <c r="B36" s="9">
        <v>2005</v>
      </c>
      <c r="C36" s="9">
        <f>ROUND(C35*1.0475, 2)</f>
        <v>570.79</v>
      </c>
    </row>
    <row r="37" spans="2:3">
      <c r="B37" s="9">
        <v>2006</v>
      </c>
      <c r="C37" s="9">
        <f t="shared" ref="C37:C39" si="2">ROUND(C36*1.0475, 2)</f>
        <v>597.9</v>
      </c>
    </row>
    <row r="38" spans="2:3">
      <c r="B38" s="9">
        <v>2007</v>
      </c>
      <c r="C38" s="9">
        <f t="shared" si="2"/>
        <v>626.29999999999995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44CD-564C-40E4-93E3-61E67FF684AF}">
  <dimension ref="B2:C10"/>
  <sheetViews>
    <sheetView workbookViewId="0">
      <selection activeCell="B15" sqref="B15"/>
    </sheetView>
  </sheetViews>
  <sheetFormatPr defaultRowHeight="15"/>
  <cols>
    <col min="2" max="2" width="18.85546875" bestFit="1" customWidth="1"/>
    <col min="3" max="3" width="9.85546875" bestFit="1" customWidth="1"/>
  </cols>
  <sheetData>
    <row r="2" spans="2:3">
      <c r="B2" s="21" t="s">
        <v>2</v>
      </c>
      <c r="C2" s="21"/>
    </row>
    <row r="3" spans="2:3">
      <c r="B3" s="2" t="s">
        <v>3</v>
      </c>
      <c r="C3" s="3">
        <v>45998</v>
      </c>
    </row>
    <row r="4" spans="2:3">
      <c r="B4" t="s">
        <v>4</v>
      </c>
      <c r="C4" s="5" t="s">
        <v>5</v>
      </c>
    </row>
    <row r="5" spans="2:3">
      <c r="B5" t="s">
        <v>6</v>
      </c>
      <c r="C5" s="4" t="s">
        <v>7</v>
      </c>
    </row>
    <row r="6" spans="2:3">
      <c r="B6" t="s">
        <v>8</v>
      </c>
      <c r="C6" s="4" t="s">
        <v>9</v>
      </c>
    </row>
    <row r="7" spans="2:3">
      <c r="B7" t="s">
        <v>10</v>
      </c>
      <c r="C7" s="4" t="s">
        <v>11</v>
      </c>
    </row>
    <row r="8" spans="2:3">
      <c r="B8" t="s">
        <v>12</v>
      </c>
      <c r="C8" s="8" t="s">
        <v>13</v>
      </c>
    </row>
    <row r="9" spans="2:3">
      <c r="B9" s="6" t="s">
        <v>14</v>
      </c>
      <c r="C9" s="6">
        <f>2 * C6 * (C4 + C5) + C4 * C5</f>
        <v>53.18</v>
      </c>
    </row>
    <row r="10" spans="2:3">
      <c r="B10" s="6" t="s">
        <v>15</v>
      </c>
      <c r="C10" s="7">
        <f>C9 * C7 * C8</f>
        <v>29.249000000000002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FE03-1C02-40FE-81EC-438F1BF6049B}">
  <dimension ref="B2:L16"/>
  <sheetViews>
    <sheetView workbookViewId="0">
      <selection activeCell="G23" sqref="G23"/>
    </sheetView>
  </sheetViews>
  <sheetFormatPr defaultRowHeight="15"/>
  <cols>
    <col min="2" max="12" width="5.7109375" customWidth="1"/>
  </cols>
  <sheetData>
    <row r="2" spans="2:12">
      <c r="B2" s="18">
        <v>0</v>
      </c>
      <c r="C2" s="11">
        <f>B2 + 1</f>
        <v>1</v>
      </c>
      <c r="D2" s="11">
        <f t="shared" ref="D2:L2" si="0">C2 + 1</f>
        <v>2</v>
      </c>
      <c r="E2" s="11">
        <f t="shared" si="0"/>
        <v>3</v>
      </c>
      <c r="F2" s="11">
        <f t="shared" si="0"/>
        <v>4</v>
      </c>
      <c r="G2" s="11">
        <f t="shared" si="0"/>
        <v>5</v>
      </c>
      <c r="H2" s="11">
        <f t="shared" si="0"/>
        <v>6</v>
      </c>
      <c r="I2" s="11">
        <f t="shared" si="0"/>
        <v>7</v>
      </c>
      <c r="J2" s="11">
        <f>I2 + 1</f>
        <v>8</v>
      </c>
      <c r="K2" s="11">
        <f t="shared" si="0"/>
        <v>9</v>
      </c>
      <c r="L2" s="12">
        <f t="shared" si="0"/>
        <v>10</v>
      </c>
    </row>
    <row r="3" spans="2:12">
      <c r="B3" s="13">
        <f>B2 + 1</f>
        <v>1</v>
      </c>
      <c r="C3" s="10">
        <f>$B3 * C$2</f>
        <v>1</v>
      </c>
      <c r="D3" s="11">
        <f t="shared" ref="D3:L12" si="1">$B3 * D$2</f>
        <v>2</v>
      </c>
      <c r="E3" s="11">
        <f t="shared" si="1"/>
        <v>3</v>
      </c>
      <c r="F3" s="11">
        <f t="shared" si="1"/>
        <v>4</v>
      </c>
      <c r="G3" s="11">
        <f t="shared" si="1"/>
        <v>5</v>
      </c>
      <c r="H3" s="11">
        <f t="shared" si="1"/>
        <v>6</v>
      </c>
      <c r="I3" s="11">
        <f t="shared" si="1"/>
        <v>7</v>
      </c>
      <c r="J3" s="11">
        <f t="shared" si="1"/>
        <v>8</v>
      </c>
      <c r="K3" s="11">
        <f t="shared" si="1"/>
        <v>9</v>
      </c>
      <c r="L3" s="12">
        <f t="shared" si="1"/>
        <v>10</v>
      </c>
    </row>
    <row r="4" spans="2:12">
      <c r="B4" s="13">
        <f t="shared" ref="B4:B16" si="2">B3 + 1</f>
        <v>2</v>
      </c>
      <c r="C4" s="13">
        <f t="shared" ref="C4:C12" si="3">$B4 * C$2</f>
        <v>2</v>
      </c>
      <c r="D4" s="9">
        <f t="shared" si="1"/>
        <v>4</v>
      </c>
      <c r="E4" s="9">
        <f t="shared" si="1"/>
        <v>6</v>
      </c>
      <c r="F4" s="9">
        <f t="shared" si="1"/>
        <v>8</v>
      </c>
      <c r="G4" s="9">
        <f t="shared" si="1"/>
        <v>10</v>
      </c>
      <c r="H4" s="9">
        <f t="shared" si="1"/>
        <v>12</v>
      </c>
      <c r="I4" s="9">
        <f t="shared" si="1"/>
        <v>14</v>
      </c>
      <c r="J4" s="9">
        <f t="shared" si="1"/>
        <v>16</v>
      </c>
      <c r="K4" s="9">
        <f t="shared" si="1"/>
        <v>18</v>
      </c>
      <c r="L4" s="14">
        <f t="shared" si="1"/>
        <v>20</v>
      </c>
    </row>
    <row r="5" spans="2:12">
      <c r="B5" s="13">
        <f t="shared" si="2"/>
        <v>3</v>
      </c>
      <c r="C5" s="13">
        <f t="shared" si="3"/>
        <v>3</v>
      </c>
      <c r="D5" s="9">
        <f t="shared" si="1"/>
        <v>6</v>
      </c>
      <c r="E5" s="9">
        <f t="shared" si="1"/>
        <v>9</v>
      </c>
      <c r="F5" s="9">
        <f t="shared" si="1"/>
        <v>12</v>
      </c>
      <c r="G5" s="9">
        <f t="shared" si="1"/>
        <v>15</v>
      </c>
      <c r="H5" s="9">
        <f t="shared" si="1"/>
        <v>18</v>
      </c>
      <c r="I5" s="9">
        <f t="shared" si="1"/>
        <v>21</v>
      </c>
      <c r="J5" s="9">
        <f t="shared" si="1"/>
        <v>24</v>
      </c>
      <c r="K5" s="9">
        <f t="shared" si="1"/>
        <v>27</v>
      </c>
      <c r="L5" s="14">
        <f t="shared" si="1"/>
        <v>30</v>
      </c>
    </row>
    <row r="6" spans="2:12">
      <c r="B6" s="13">
        <f t="shared" si="2"/>
        <v>4</v>
      </c>
      <c r="C6" s="13">
        <f t="shared" si="3"/>
        <v>4</v>
      </c>
      <c r="D6" s="9">
        <f t="shared" si="1"/>
        <v>8</v>
      </c>
      <c r="E6" s="9">
        <f t="shared" si="1"/>
        <v>12</v>
      </c>
      <c r="F6" s="9">
        <f t="shared" si="1"/>
        <v>16</v>
      </c>
      <c r="G6" s="9">
        <f t="shared" si="1"/>
        <v>20</v>
      </c>
      <c r="H6" s="9">
        <f t="shared" si="1"/>
        <v>24</v>
      </c>
      <c r="I6" s="9">
        <f t="shared" si="1"/>
        <v>28</v>
      </c>
      <c r="J6" s="9">
        <f t="shared" si="1"/>
        <v>32</v>
      </c>
      <c r="K6" s="9">
        <f t="shared" si="1"/>
        <v>36</v>
      </c>
      <c r="L6" s="14">
        <f t="shared" si="1"/>
        <v>40</v>
      </c>
    </row>
    <row r="7" spans="2:12">
      <c r="B7" s="13">
        <f t="shared" si="2"/>
        <v>5</v>
      </c>
      <c r="C7" s="13">
        <f t="shared" si="3"/>
        <v>5</v>
      </c>
      <c r="D7" s="9">
        <f t="shared" si="1"/>
        <v>10</v>
      </c>
      <c r="E7" s="9">
        <f t="shared" si="1"/>
        <v>15</v>
      </c>
      <c r="F7" s="9">
        <f t="shared" si="1"/>
        <v>20</v>
      </c>
      <c r="G7" s="9">
        <f t="shared" si="1"/>
        <v>25</v>
      </c>
      <c r="H7" s="9">
        <f t="shared" si="1"/>
        <v>30</v>
      </c>
      <c r="I7" s="9">
        <f t="shared" si="1"/>
        <v>35</v>
      </c>
      <c r="J7" s="9">
        <f t="shared" si="1"/>
        <v>40</v>
      </c>
      <c r="K7" s="9">
        <f t="shared" si="1"/>
        <v>45</v>
      </c>
      <c r="L7" s="14">
        <f t="shared" si="1"/>
        <v>50</v>
      </c>
    </row>
    <row r="8" spans="2:12">
      <c r="B8" s="13">
        <f t="shared" si="2"/>
        <v>6</v>
      </c>
      <c r="C8" s="13">
        <f t="shared" si="3"/>
        <v>6</v>
      </c>
      <c r="D8" s="9">
        <f t="shared" si="1"/>
        <v>12</v>
      </c>
      <c r="E8" s="9">
        <f t="shared" si="1"/>
        <v>18</v>
      </c>
      <c r="F8" s="9">
        <f t="shared" si="1"/>
        <v>24</v>
      </c>
      <c r="G8" s="9">
        <f t="shared" si="1"/>
        <v>30</v>
      </c>
      <c r="H8" s="9">
        <f t="shared" si="1"/>
        <v>36</v>
      </c>
      <c r="I8" s="9">
        <f t="shared" si="1"/>
        <v>42</v>
      </c>
      <c r="J8" s="9">
        <f t="shared" si="1"/>
        <v>48</v>
      </c>
      <c r="K8" s="9">
        <f t="shared" si="1"/>
        <v>54</v>
      </c>
      <c r="L8" s="14">
        <f t="shared" si="1"/>
        <v>60</v>
      </c>
    </row>
    <row r="9" spans="2:12">
      <c r="B9" s="13">
        <f t="shared" si="2"/>
        <v>7</v>
      </c>
      <c r="C9" s="13">
        <f t="shared" si="3"/>
        <v>7</v>
      </c>
      <c r="D9" s="9">
        <f t="shared" si="1"/>
        <v>14</v>
      </c>
      <c r="E9" s="9">
        <f t="shared" si="1"/>
        <v>21</v>
      </c>
      <c r="F9" s="9">
        <f t="shared" si="1"/>
        <v>28</v>
      </c>
      <c r="G9" s="9">
        <f t="shared" si="1"/>
        <v>35</v>
      </c>
      <c r="H9" s="9">
        <f t="shared" si="1"/>
        <v>42</v>
      </c>
      <c r="I9" s="9">
        <f t="shared" si="1"/>
        <v>49</v>
      </c>
      <c r="J9" s="9">
        <f t="shared" si="1"/>
        <v>56</v>
      </c>
      <c r="K9" s="9">
        <f t="shared" si="1"/>
        <v>63</v>
      </c>
      <c r="L9" s="14">
        <f t="shared" si="1"/>
        <v>70</v>
      </c>
    </row>
    <row r="10" spans="2:12">
      <c r="B10" s="13">
        <f t="shared" si="2"/>
        <v>8</v>
      </c>
      <c r="C10" s="13">
        <f t="shared" si="3"/>
        <v>8</v>
      </c>
      <c r="D10" s="9">
        <f t="shared" si="1"/>
        <v>16</v>
      </c>
      <c r="E10" s="9">
        <f t="shared" si="1"/>
        <v>24</v>
      </c>
      <c r="F10" s="9">
        <f t="shared" si="1"/>
        <v>32</v>
      </c>
      <c r="G10" s="9">
        <f t="shared" si="1"/>
        <v>40</v>
      </c>
      <c r="H10" s="9">
        <f t="shared" si="1"/>
        <v>48</v>
      </c>
      <c r="I10" s="9">
        <f t="shared" si="1"/>
        <v>56</v>
      </c>
      <c r="J10" s="9">
        <f t="shared" si="1"/>
        <v>64</v>
      </c>
      <c r="K10" s="9">
        <f t="shared" si="1"/>
        <v>72</v>
      </c>
      <c r="L10" s="14">
        <f t="shared" si="1"/>
        <v>80</v>
      </c>
    </row>
    <row r="11" spans="2:12">
      <c r="B11" s="13">
        <f t="shared" si="2"/>
        <v>9</v>
      </c>
      <c r="C11" s="13">
        <f t="shared" si="3"/>
        <v>9</v>
      </c>
      <c r="D11" s="9">
        <f t="shared" si="1"/>
        <v>18</v>
      </c>
      <c r="E11" s="9">
        <f t="shared" si="1"/>
        <v>27</v>
      </c>
      <c r="F11" s="9">
        <f t="shared" si="1"/>
        <v>36</v>
      </c>
      <c r="G11" s="9">
        <f t="shared" si="1"/>
        <v>45</v>
      </c>
      <c r="H11" s="9">
        <f t="shared" si="1"/>
        <v>54</v>
      </c>
      <c r="I11" s="9">
        <f t="shared" si="1"/>
        <v>63</v>
      </c>
      <c r="J11" s="9">
        <f t="shared" si="1"/>
        <v>72</v>
      </c>
      <c r="K11" s="9">
        <f t="shared" si="1"/>
        <v>81</v>
      </c>
      <c r="L11" s="14">
        <f t="shared" si="1"/>
        <v>90</v>
      </c>
    </row>
    <row r="12" spans="2:12">
      <c r="B12" s="15">
        <f t="shared" si="2"/>
        <v>10</v>
      </c>
      <c r="C12" s="15">
        <f t="shared" si="3"/>
        <v>10</v>
      </c>
      <c r="D12" s="16">
        <f t="shared" si="1"/>
        <v>20</v>
      </c>
      <c r="E12" s="16">
        <f t="shared" si="1"/>
        <v>30</v>
      </c>
      <c r="F12" s="16">
        <f t="shared" si="1"/>
        <v>40</v>
      </c>
      <c r="G12" s="16">
        <f t="shared" si="1"/>
        <v>50</v>
      </c>
      <c r="H12" s="16">
        <f t="shared" si="1"/>
        <v>60</v>
      </c>
      <c r="I12" s="16">
        <f t="shared" si="1"/>
        <v>70</v>
      </c>
      <c r="J12" s="16">
        <f t="shared" si="1"/>
        <v>80</v>
      </c>
      <c r="K12" s="16">
        <f t="shared" si="1"/>
        <v>90</v>
      </c>
      <c r="L12" s="17">
        <f t="shared" si="1"/>
        <v>100</v>
      </c>
    </row>
    <row r="13" spans="2:12">
      <c r="B13" s="9"/>
    </row>
    <row r="14" spans="2:12">
      <c r="B14" s="9"/>
    </row>
    <row r="15" spans="2:12">
      <c r="B15" s="9"/>
    </row>
    <row r="16" spans="2:12">
      <c r="B1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01BE-FD98-4240-9F1E-B3DFD215BAF2}">
  <dimension ref="B2:H13"/>
  <sheetViews>
    <sheetView tabSelected="1" workbookViewId="0">
      <selection activeCell="Q20" sqref="Q20"/>
    </sheetView>
  </sheetViews>
  <sheetFormatPr defaultRowHeight="15"/>
  <sheetData>
    <row r="2" spans="2:8">
      <c r="B2" s="6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</row>
    <row r="3" spans="2:8">
      <c r="B3" s="6" t="s">
        <v>23</v>
      </c>
      <c r="C3" s="9">
        <v>120</v>
      </c>
      <c r="D3" s="9">
        <v>45</v>
      </c>
      <c r="E3" s="9">
        <v>60</v>
      </c>
      <c r="F3" s="9">
        <v>210</v>
      </c>
      <c r="G3" s="9">
        <v>160</v>
      </c>
      <c r="H3" s="9">
        <v>35</v>
      </c>
    </row>
    <row r="4" spans="2:8">
      <c r="B4" s="6" t="s">
        <v>24</v>
      </c>
      <c r="C4" s="19">
        <f>C3 / (SUM(padavine1) + SUM(padavine2))</f>
        <v>9.6774193548387094E-2</v>
      </c>
      <c r="D4" s="19">
        <f>D3 / (SUM(padavine1) + SUM(padavine2))</f>
        <v>3.6290322580645164E-2</v>
      </c>
      <c r="E4" s="19">
        <f>E3 / (SUM(padavine1) + SUM(padavine2))</f>
        <v>4.8387096774193547E-2</v>
      </c>
      <c r="F4" s="19">
        <f>F3 / (SUM(padavine1) + SUM(padavine2))</f>
        <v>0.16935483870967741</v>
      </c>
      <c r="G4" s="19">
        <f>G3 / (SUM(padavine1) + SUM(padavine2))</f>
        <v>0.12903225806451613</v>
      </c>
      <c r="H4" s="19">
        <f>H3 / (SUM(padavine1) + SUM(padavine2))</f>
        <v>2.8225806451612902E-2</v>
      </c>
    </row>
    <row r="6" spans="2:8">
      <c r="B6" s="6" t="s">
        <v>16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</row>
    <row r="7" spans="2:8">
      <c r="B7" s="6" t="s">
        <v>23</v>
      </c>
      <c r="C7" s="9">
        <v>20</v>
      </c>
      <c r="D7" s="9">
        <v>80</v>
      </c>
      <c r="E7" s="9">
        <v>100</v>
      </c>
      <c r="F7" s="9">
        <v>120</v>
      </c>
      <c r="G7" s="9">
        <v>90</v>
      </c>
      <c r="H7" s="9">
        <v>200</v>
      </c>
    </row>
    <row r="8" spans="2:8">
      <c r="B8" s="6" t="s">
        <v>24</v>
      </c>
      <c r="C8" s="19">
        <f>C7 / (SUM(padavine1) + SUM(padavine2))</f>
        <v>1.6129032258064516E-2</v>
      </c>
      <c r="D8" s="19">
        <f>D7 / (SUM(padavine1) + SUM(padavine2))</f>
        <v>6.4516129032258063E-2</v>
      </c>
      <c r="E8" s="19">
        <f>E7 / (SUM(padavine1) + SUM(padavine2))</f>
        <v>8.0645161290322578E-2</v>
      </c>
      <c r="F8" s="19">
        <f>F7 / (SUM(padavine1) + SUM(padavine2))</f>
        <v>9.6774193548387094E-2</v>
      </c>
      <c r="G8" s="19">
        <f>G7 / (SUM(padavine1) + SUM(padavine2))</f>
        <v>7.2580645161290328E-2</v>
      </c>
      <c r="H8" s="19">
        <f>H7 / (SUM(padavine1) + SUM(padavine2))</f>
        <v>0.16129032258064516</v>
      </c>
    </row>
    <row r="10" spans="2:8">
      <c r="B10" s="22" t="s">
        <v>31</v>
      </c>
      <c r="C10" s="22"/>
      <c r="D10" s="22"/>
      <c r="E10">
        <f>SUM(padavine1, padavine2)</f>
        <v>1240</v>
      </c>
    </row>
    <row r="11" spans="2:8">
      <c r="B11" s="22" t="s">
        <v>32</v>
      </c>
      <c r="C11" s="22"/>
      <c r="D11" s="22"/>
      <c r="E11">
        <f>MAX(padavine1, padavine2)</f>
        <v>210</v>
      </c>
    </row>
    <row r="12" spans="2:8">
      <c r="B12" s="22" t="s">
        <v>33</v>
      </c>
      <c r="C12" s="22"/>
      <c r="D12" s="22"/>
      <c r="E12">
        <f>MIN(padavine1, padavine2)</f>
        <v>20</v>
      </c>
    </row>
    <row r="13" spans="2:8">
      <c r="B13" s="22" t="s">
        <v>34</v>
      </c>
      <c r="C13" s="22"/>
      <c r="D13" s="22"/>
      <c r="E13" s="20">
        <f>AVERAGE(padavine1, padavine2)</f>
        <v>103.33333333333333</v>
      </c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2025-12-07T22:13:03Z</dcterms:created>
  <dcterms:modified xsi:type="dcterms:W3CDTF">2025-12-07T23:18:49Z</dcterms:modified>
  <cp:category/>
  <cp:contentStatus/>
</cp:coreProperties>
</file>